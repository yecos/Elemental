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Formatos" sheetId="3" state="visible" r:id="rId3"/>
    <sheet xmlns:r="http://schemas.openxmlformats.org/officeDocument/2006/relationships" name="Pilares y Temas" sheetId="4" state="visible" r:id="rId4"/>
    <sheet xmlns:r="http://schemas.openxmlformats.org/officeDocument/2006/relationships" name="Métricas" sheetId="5" state="visible" r:id="rId5"/>
  </sheets>
  <definedNames>
    <definedName name="_xlnm._FilterDatabase" localSheetId="1" hidden="1">'Calendario'!$A$3:$L$31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$#,##0"/>
  </numFmts>
  <fonts count="24">
    <font>
      <name val="Calibri"/>
      <family val="2"/>
      <color theme="1"/>
      <sz val="11"/>
      <scheme val="minor"/>
    </font>
    <font>
      <name val="Space Grotesk"/>
      <b val="1"/>
      <color rgb="00FFFFFF"/>
      <sz val="28"/>
    </font>
    <font>
      <name val="Space Grotesk"/>
      <b val="1"/>
      <color rgb="00C8D400"/>
      <sz val="28"/>
    </font>
    <font>
      <name val="JetBrains Mono"/>
      <color rgb="00C8D400"/>
      <sz val="10"/>
    </font>
    <font>
      <name val="Inter"/>
      <color rgb="00F2F2F2"/>
      <sz val="11"/>
    </font>
    <font>
      <name val="Space Grotesk"/>
      <b val="1"/>
      <color rgb="00C8D400"/>
      <sz val="10"/>
    </font>
    <font>
      <name val="Inter"/>
      <color rgb="00FFFFFF"/>
      <sz val="10"/>
    </font>
    <font>
      <name val="Space Grotesk"/>
      <b val="1"/>
      <color rgb="000D0D0D"/>
      <sz val="11"/>
    </font>
    <font>
      <name val="Space Grotesk"/>
      <b val="1"/>
      <color rgb="00C8D400"/>
      <sz val="11"/>
    </font>
    <font>
      <name val="Space Grotesk"/>
      <b val="1"/>
      <color rgb="00FFFFFF"/>
      <sz val="11"/>
    </font>
    <font>
      <name val="JetBrains Mono"/>
      <color rgb="008A8A8A"/>
      <sz val="9"/>
    </font>
    <font>
      <name val="Space Grotesk"/>
      <b val="1"/>
      <color rgb="00FFFFFF"/>
      <sz val="14"/>
    </font>
    <font>
      <name val="Inter"/>
      <color rgb="008A8A8A"/>
      <sz val="10"/>
    </font>
    <font>
      <name val="JetBrains Mono"/>
      <color rgb="00F2F2F2"/>
      <sz val="9"/>
    </font>
    <font>
      <name val="Space Grotesk"/>
      <b val="1"/>
      <color rgb="00FFFFFF"/>
      <sz val="10"/>
    </font>
    <font>
      <name val="JetBrains Mono"/>
      <color rgb="00C8D400"/>
      <sz val="9"/>
    </font>
    <font>
      <name val="Inter"/>
      <color rgb="008A8A8A"/>
      <sz val="9"/>
    </font>
    <font>
      <name val="Inter"/>
      <b val="1"/>
      <color rgb="00C8D400"/>
      <sz val="10"/>
    </font>
    <font>
      <name val="Inter"/>
      <b val="1"/>
      <color rgb="00FFA500"/>
      <sz val="10"/>
    </font>
    <font>
      <name val="Space Grotesk"/>
      <b val="1"/>
      <color rgb="00C8D400"/>
      <sz val="12"/>
    </font>
    <font>
      <name val="JetBrains Mono"/>
      <color rgb="00FFFFFF"/>
      <sz val="10"/>
    </font>
    <font>
      <name val="Inter"/>
      <i val="1"/>
      <color rgb="00F2F2F2"/>
      <sz val="10"/>
    </font>
    <font>
      <name val="Space Grotesk"/>
      <color rgb="00FFFFFF"/>
      <sz val="10"/>
    </font>
    <font>
      <name val="JetBrains Mono"/>
      <b val="1"/>
      <color rgb="00C8D400"/>
      <sz val="11"/>
    </font>
  </fonts>
  <fills count="8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1A"/>
      </patternFill>
    </fill>
    <fill>
      <patternFill patternType="solid">
        <fgColor rgb="00262626"/>
      </patternFill>
    </fill>
    <fill>
      <patternFill patternType="solid">
        <fgColor rgb="002A2A0A"/>
      </patternFill>
    </fill>
    <fill>
      <patternFill patternType="solid">
        <fgColor rgb="001A2A1A"/>
      </patternFill>
    </fill>
    <fill>
      <patternFill patternType="solid">
        <fgColor rgb="002A1A2A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left" vertical="top" wrapText="1"/>
    </xf>
    <xf numFmtId="0" fontId="5" fillId="2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left" vertical="top" wrapText="1"/>
    </xf>
    <xf numFmtId="0" fontId="2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3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65" fontId="23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ELEMENTAL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4" t="inlineStr">
        <is>
          <t>Calendario de contenido · Redes sociales · 4 semanas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6" customHeight="1">
      <c r="A5" s="1" t="n"/>
      <c r="B5" s="5" t="inlineStr">
        <is>
          <t>Plan estratégico de contenido para Instagram, LinkedIn y WhatsApp. Cadencia: 3 carruseles + 3 reels + 7 stories + 1 caso de éxito por semana.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6" t="inlineStr">
        <is>
          <t>ESTADÍSTICAS DEL PLAN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7" t="inlineStr">
        <is>
          <t>Semanas</t>
        </is>
      </c>
      <c r="C8" s="8" t="inlineStr">
        <is>
          <t>4</t>
        </is>
      </c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7" t="inlineStr">
        <is>
          <t>Carruseles</t>
        </is>
      </c>
      <c r="C9" s="8" t="inlineStr">
        <is>
          <t>12</t>
        </is>
      </c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7" t="inlineStr">
        <is>
          <t>Reels</t>
        </is>
      </c>
      <c r="C10" s="8" t="inlineStr">
        <is>
          <t>12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7" t="inlineStr">
        <is>
          <t>Stories</t>
        </is>
      </c>
      <c r="C11" s="8" t="inlineStr">
        <is>
          <t>28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7" t="inlineStr">
        <is>
          <t>Casos de éxito</t>
        </is>
      </c>
      <c r="C12" s="8" t="inlineStr">
        <is>
          <t>4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7" t="inlineStr">
        <is>
          <t>Total publicaciones</t>
        </is>
      </c>
      <c r="C13" s="8" t="inlineStr">
        <is>
          <t>56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7" t="inlineStr">
        <is>
          <t>Pilares de contenido</t>
        </is>
      </c>
      <c r="C14" s="8" t="inlineStr">
        <is>
          <t>5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7" t="inlineStr">
        <is>
          <t>Formatos activos</t>
        </is>
      </c>
      <c r="C15" s="8" t="inlineStr">
        <is>
          <t>5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6" t="inlineStr">
        <is>
          <t>PILARES DE CONTENIDO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30" customHeight="1">
      <c r="A18" s="1" t="n"/>
      <c r="B18" s="9" t="inlineStr">
        <is>
          <t>01</t>
        </is>
      </c>
      <c r="C18" s="10" t="inlineStr">
        <is>
          <t>IA para empresas</t>
        </is>
      </c>
      <c r="D18" s="11" t="inlineStr">
        <is>
          <t>Prompts, bots, automatizaciones, casos prácticos y tendencias aplicadas.</t>
        </is>
      </c>
      <c r="E18" s="12" t="n"/>
      <c r="F18" s="12" t="n"/>
      <c r="G18" s="12" t="n"/>
      <c r="H18" s="12" t="n"/>
      <c r="I18" s="12" t="n"/>
      <c r="J18" s="12" t="n"/>
      <c r="K18" s="13" t="n"/>
    </row>
    <row r="19" ht="30" customHeight="1">
      <c r="A19" s="1" t="n"/>
      <c r="B19" s="9" t="inlineStr">
        <is>
          <t>02</t>
        </is>
      </c>
      <c r="C19" s="10" t="inlineStr">
        <is>
          <t>Marketing y ventas</t>
        </is>
      </c>
      <c r="D19" s="11" t="inlineStr">
        <is>
          <t>Embudos, anuncios, contenido, SEO, redes y estrategias de conversión.</t>
        </is>
      </c>
      <c r="E19" s="12" t="n"/>
      <c r="F19" s="12" t="n"/>
      <c r="G19" s="12" t="n"/>
      <c r="H19" s="12" t="n"/>
      <c r="I19" s="12" t="n"/>
      <c r="J19" s="12" t="n"/>
      <c r="K19" s="13" t="n"/>
    </row>
    <row r="20" ht="30" customHeight="1">
      <c r="A20" s="1" t="n"/>
      <c r="B20" s="9" t="inlineStr">
        <is>
          <t>03</t>
        </is>
      </c>
      <c r="C20" s="10" t="inlineStr">
        <is>
          <t>Antes / después</t>
        </is>
      </c>
      <c r="D20" s="11" t="inlineStr">
        <is>
          <t>Transformaciones de marca, web, piezas, campañas y procesos.</t>
        </is>
      </c>
      <c r="E20" s="12" t="n"/>
      <c r="F20" s="12" t="n"/>
      <c r="G20" s="12" t="n"/>
      <c r="H20" s="12" t="n"/>
      <c r="I20" s="12" t="n"/>
      <c r="J20" s="12" t="n"/>
      <c r="K20" s="13" t="n"/>
    </row>
    <row r="21" ht="30" customHeight="1">
      <c r="A21" s="1" t="n"/>
      <c r="B21" s="9" t="inlineStr">
        <is>
          <t>04</t>
        </is>
      </c>
      <c r="C21" s="10" t="inlineStr">
        <is>
          <t>Casos reales</t>
        </is>
      </c>
      <c r="D21" s="11" t="inlineStr">
        <is>
          <t>Resultados, aprendizajes y mini auditorías de empresas.</t>
        </is>
      </c>
      <c r="E21" s="12" t="n"/>
      <c r="F21" s="12" t="n"/>
      <c r="G21" s="12" t="n"/>
      <c r="H21" s="12" t="n"/>
      <c r="I21" s="12" t="n"/>
      <c r="J21" s="12" t="n"/>
      <c r="K21" s="13" t="n"/>
    </row>
    <row r="22" ht="30" customHeight="1">
      <c r="A22" s="1" t="n"/>
      <c r="B22" s="9" t="inlineStr">
        <is>
          <t>05</t>
        </is>
      </c>
      <c r="C22" s="10" t="inlineStr">
        <is>
          <t>Cultura ELEMENTAL</t>
        </is>
      </c>
      <c r="D22" s="11" t="inlineStr">
        <is>
          <t>Proceso creativo, metodología, equipo, herramientas y backstage.</t>
        </is>
      </c>
      <c r="E22" s="12" t="n"/>
      <c r="F22" s="12" t="n"/>
      <c r="G22" s="12" t="n"/>
      <c r="H22" s="12" t="n"/>
      <c r="I22" s="12" t="n"/>
      <c r="J22" s="12" t="n"/>
      <c r="K22" s="13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6" t="inlineStr">
        <is>
          <t>KPIs OBJETIVO · 30 DÍAS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7" t="inlineStr">
        <is>
          <t>Alcance mensual Instagram</t>
        </is>
      </c>
      <c r="C26" s="12" t="n"/>
      <c r="D26" s="12" t="n"/>
      <c r="E26" s="12" t="n"/>
      <c r="F26" s="13" t="n"/>
      <c r="G26" s="8" t="inlineStr">
        <is>
          <t>80,000 - 120,000</t>
        </is>
      </c>
      <c r="H26" s="12" t="n"/>
      <c r="I26" s="12" t="n"/>
      <c r="J26" s="12" t="n"/>
      <c r="K26" s="13" t="n"/>
    </row>
    <row r="27">
      <c r="A27" s="1" t="n"/>
      <c r="B27" s="7" t="inlineStr">
        <is>
          <t>Impresiones totales</t>
        </is>
      </c>
      <c r="C27" s="12" t="n"/>
      <c r="D27" s="12" t="n"/>
      <c r="E27" s="12" t="n"/>
      <c r="F27" s="13" t="n"/>
      <c r="G27" s="8" t="inlineStr">
        <is>
          <t>150,000+</t>
        </is>
      </c>
      <c r="H27" s="12" t="n"/>
      <c r="I27" s="12" t="n"/>
      <c r="J27" s="12" t="n"/>
      <c r="K27" s="13" t="n"/>
    </row>
    <row r="28">
      <c r="A28" s="1" t="n"/>
      <c r="B28" s="7" t="inlineStr">
        <is>
          <t>Nuevos seguidores</t>
        </is>
      </c>
      <c r="C28" s="12" t="n"/>
      <c r="D28" s="12" t="n"/>
      <c r="E28" s="12" t="n"/>
      <c r="F28" s="13" t="n"/>
      <c r="G28" s="8" t="inlineStr">
        <is>
          <t>+400 a +800</t>
        </is>
      </c>
      <c r="H28" s="12" t="n"/>
      <c r="I28" s="12" t="n"/>
      <c r="J28" s="12" t="n"/>
      <c r="K28" s="13" t="n"/>
    </row>
    <row r="29">
      <c r="A29" s="1" t="n"/>
      <c r="B29" s="7" t="inlineStr">
        <is>
          <t>Tasa de engagement</t>
        </is>
      </c>
      <c r="C29" s="12" t="n"/>
      <c r="D29" s="12" t="n"/>
      <c r="E29" s="12" t="n"/>
      <c r="F29" s="13" t="n"/>
      <c r="G29" s="8" t="inlineStr">
        <is>
          <t>3.5% - 5%</t>
        </is>
      </c>
      <c r="H29" s="12" t="n"/>
      <c r="I29" s="12" t="n"/>
      <c r="J29" s="12" t="n"/>
      <c r="K29" s="13" t="n"/>
    </row>
    <row r="30">
      <c r="A30" s="1" t="n"/>
      <c r="B30" s="7" t="inlineStr">
        <is>
          <t>Guardados por carrusel</t>
        </is>
      </c>
      <c r="C30" s="12" t="n"/>
      <c r="D30" s="12" t="n"/>
      <c r="E30" s="12" t="n"/>
      <c r="F30" s="13" t="n"/>
      <c r="G30" s="8" t="inlineStr">
        <is>
          <t>50+</t>
        </is>
      </c>
      <c r="H30" s="12" t="n"/>
      <c r="I30" s="12" t="n"/>
      <c r="J30" s="12" t="n"/>
      <c r="K30" s="13" t="n"/>
    </row>
    <row r="31">
      <c r="A31" s="1" t="n"/>
      <c r="B31" s="7" t="inlineStr">
        <is>
          <t>Leads por WhatsApp</t>
        </is>
      </c>
      <c r="C31" s="12" t="n"/>
      <c r="D31" s="12" t="n"/>
      <c r="E31" s="12" t="n"/>
      <c r="F31" s="13" t="n"/>
      <c r="G31" s="8" t="inlineStr">
        <is>
          <t>30 - 60</t>
        </is>
      </c>
      <c r="H31" s="12" t="n"/>
      <c r="I31" s="12" t="n"/>
      <c r="J31" s="12" t="n"/>
      <c r="K31" s="13" t="n"/>
    </row>
    <row r="32">
      <c r="A32" s="1" t="n"/>
      <c r="B32" s="7" t="inlineStr">
        <is>
          <t>Diagnósticos agendados</t>
        </is>
      </c>
      <c r="C32" s="12" t="n"/>
      <c r="D32" s="12" t="n"/>
      <c r="E32" s="12" t="n"/>
      <c r="F32" s="13" t="n"/>
      <c r="G32" s="8" t="inlineStr">
        <is>
          <t>8 - 15</t>
        </is>
      </c>
      <c r="H32" s="12" t="n"/>
      <c r="I32" s="12" t="n"/>
      <c r="J32" s="12" t="n"/>
      <c r="K32" s="13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6" t="inlineStr">
        <is>
          <t>CADENCIA SEMANAL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4" t="inlineStr">
        <is>
          <t>Día</t>
        </is>
      </c>
      <c r="C36" s="14" t="inlineStr">
        <is>
          <t>Formato</t>
        </is>
      </c>
      <c r="D36" s="14" t="inlineStr">
        <is>
          <t>Pilar</t>
        </is>
      </c>
      <c r="E36" s="12" t="n"/>
      <c r="F36" s="12" t="n"/>
      <c r="G36" s="12" t="n"/>
      <c r="H36" s="12" t="n"/>
      <c r="I36" s="12" t="n"/>
      <c r="J36" s="12" t="n"/>
      <c r="K36" s="13" t="n"/>
    </row>
    <row r="37">
      <c r="A37" s="1" t="n"/>
      <c r="B37" s="8" t="inlineStr">
        <is>
          <t>Lunes</t>
        </is>
      </c>
      <c r="C37" s="7" t="inlineStr">
        <is>
          <t>Carrusel educativo</t>
        </is>
      </c>
      <c r="D37" s="7" t="inlineStr">
        <is>
          <t>Pilar 1 o 2</t>
        </is>
      </c>
      <c r="E37" s="12" t="n"/>
      <c r="F37" s="12" t="n"/>
      <c r="G37" s="12" t="n"/>
      <c r="H37" s="12" t="n"/>
      <c r="I37" s="12" t="n"/>
      <c r="J37" s="12" t="n"/>
      <c r="K37" s="13" t="n"/>
    </row>
    <row r="38">
      <c r="A38" s="1" t="n"/>
      <c r="B38" s="8" t="inlineStr">
        <is>
          <t>Martes</t>
        </is>
      </c>
      <c r="C38" s="7" t="inlineStr">
        <is>
          <t>Reel corto (tip)</t>
        </is>
      </c>
      <c r="D38" s="7" t="inlineStr">
        <is>
          <t>Pilar 1</t>
        </is>
      </c>
      <c r="E38" s="12" t="n"/>
      <c r="F38" s="12" t="n"/>
      <c r="G38" s="12" t="n"/>
      <c r="H38" s="12" t="n"/>
      <c r="I38" s="12" t="n"/>
      <c r="J38" s="12" t="n"/>
      <c r="K38" s="13" t="n"/>
    </row>
    <row r="39">
      <c r="A39" s="1" t="n"/>
      <c r="B39" s="8" t="inlineStr">
        <is>
          <t>Miércoles</t>
        </is>
      </c>
      <c r="C39" s="7" t="inlineStr">
        <is>
          <t>Carrusel caso / auditoría</t>
        </is>
      </c>
      <c r="D39" s="7" t="inlineStr">
        <is>
          <t>Pilar 4</t>
        </is>
      </c>
      <c r="E39" s="12" t="n"/>
      <c r="F39" s="12" t="n"/>
      <c r="G39" s="12" t="n"/>
      <c r="H39" s="12" t="n"/>
      <c r="I39" s="12" t="n"/>
      <c r="J39" s="12" t="n"/>
      <c r="K39" s="13" t="n"/>
    </row>
    <row r="40">
      <c r="A40" s="1" t="n"/>
      <c r="B40" s="8" t="inlineStr">
        <is>
          <t>Jueves</t>
        </is>
      </c>
      <c r="C40" s="7" t="inlineStr">
        <is>
          <t>Reel corto (error común)</t>
        </is>
      </c>
      <c r="D40" s="7" t="inlineStr">
        <is>
          <t>Pilar 2</t>
        </is>
      </c>
      <c r="E40" s="12" t="n"/>
      <c r="F40" s="12" t="n"/>
      <c r="G40" s="12" t="n"/>
      <c r="H40" s="12" t="n"/>
      <c r="I40" s="12" t="n"/>
      <c r="J40" s="12" t="n"/>
      <c r="K40" s="13" t="n"/>
    </row>
    <row r="41">
      <c r="A41" s="1" t="n"/>
      <c r="B41" s="8" t="inlineStr">
        <is>
          <t>Viernes</t>
        </is>
      </c>
      <c r="C41" s="7" t="inlineStr">
        <is>
          <t>Carrusel antes/después</t>
        </is>
      </c>
      <c r="D41" s="7" t="inlineStr">
        <is>
          <t>Pilar 3</t>
        </is>
      </c>
      <c r="E41" s="12" t="n"/>
      <c r="F41" s="12" t="n"/>
      <c r="G41" s="12" t="n"/>
      <c r="H41" s="12" t="n"/>
      <c r="I41" s="12" t="n"/>
      <c r="J41" s="12" t="n"/>
      <c r="K41" s="13" t="n"/>
    </row>
    <row r="42">
      <c r="A42" s="1" t="n"/>
      <c r="B42" s="8" t="inlineStr">
        <is>
          <t>Sábado</t>
        </is>
      </c>
      <c r="C42" s="7" t="inlineStr">
        <is>
          <t>Reel cultura/backstage</t>
        </is>
      </c>
      <c r="D42" s="7" t="inlineStr">
        <is>
          <t>Pilar 5</t>
        </is>
      </c>
      <c r="E42" s="12" t="n"/>
      <c r="F42" s="12" t="n"/>
      <c r="G42" s="12" t="n"/>
      <c r="H42" s="12" t="n"/>
      <c r="I42" s="12" t="n"/>
      <c r="J42" s="12" t="n"/>
      <c r="K42" s="13" t="n"/>
    </row>
    <row r="43">
      <c r="A43" s="1" t="n"/>
      <c r="B43" s="8" t="inlineStr">
        <is>
          <t>Domingo</t>
        </is>
      </c>
      <c r="C43" s="7" t="inlineStr">
        <is>
          <t>Story + caso de éxito</t>
        </is>
      </c>
      <c r="D43" s="7" t="inlineStr">
        <is>
          <t>Pilar 4</t>
        </is>
      </c>
      <c r="E43" s="12" t="n"/>
      <c r="F43" s="12" t="n"/>
      <c r="G43" s="12" t="n"/>
      <c r="H43" s="12" t="n"/>
      <c r="I43" s="12" t="n"/>
      <c r="J43" s="12" t="n"/>
      <c r="K43" s="13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5" t="inlineStr">
        <is>
          <t>ELEMENTAL · Diseño. Tecnología. Inteligencia.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</sheetData>
  <mergeCells count="28">
    <mergeCell ref="D20:K20"/>
    <mergeCell ref="D19:K19"/>
    <mergeCell ref="G27:K27"/>
    <mergeCell ref="B31:F31"/>
    <mergeCell ref="G31:K31"/>
    <mergeCell ref="D22:K22"/>
    <mergeCell ref="B27:F27"/>
    <mergeCell ref="B5:K5"/>
    <mergeCell ref="D40:K40"/>
    <mergeCell ref="D36:K36"/>
    <mergeCell ref="D21:K21"/>
    <mergeCell ref="G28:K28"/>
    <mergeCell ref="D41:K41"/>
    <mergeCell ref="B29:F29"/>
    <mergeCell ref="G30:K30"/>
    <mergeCell ref="B28:F28"/>
    <mergeCell ref="D43:K43"/>
    <mergeCell ref="D37:K37"/>
    <mergeCell ref="D18:K18"/>
    <mergeCell ref="G26:K26"/>
    <mergeCell ref="B30:F30"/>
    <mergeCell ref="G29:K29"/>
    <mergeCell ref="D39:K39"/>
    <mergeCell ref="G32:K32"/>
    <mergeCell ref="D42:K42"/>
    <mergeCell ref="D38:K38"/>
    <mergeCell ref="B32:F3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4" customWidth="1" min="4" max="4"/>
    <col width="13" customWidth="1" min="5" max="5"/>
    <col width="18" customWidth="1" min="6" max="6"/>
    <col width="28" customWidth="1" min="7" max="7"/>
    <col width="50" customWidth="1" min="8" max="8"/>
    <col width="28" customWidth="1" min="9" max="9"/>
    <col width="22" customWidth="1" min="10" max="10"/>
    <col width="16" customWidth="1" min="11" max="11"/>
    <col width="12" customWidth="1" min="12" max="12"/>
  </cols>
  <sheetData>
    <row r="1">
      <c r="A1" s="16" t="inlineStr">
        <is>
          <t>CALENDARIO MAESTRO · 4 SEMANAS</t>
        </is>
      </c>
    </row>
    <row r="2">
      <c r="A2" s="17" t="inlineStr">
        <is>
          <t>Cada fila es una publicación. Filtrar por Semana, Tipo o Pilar según necesidad.</t>
        </is>
      </c>
    </row>
    <row r="3" ht="28" customHeight="1">
      <c r="A3" s="14" t="inlineStr">
        <is>
          <t>Semana</t>
        </is>
      </c>
      <c r="B3" s="14" t="inlineStr">
        <is>
          <t>Día</t>
        </is>
      </c>
      <c r="C3" s="14" t="inlineStr">
        <is>
          <t>Fecha</t>
        </is>
      </c>
      <c r="D3" s="14" t="inlineStr">
        <is>
          <t>Tipo</t>
        </is>
      </c>
      <c r="E3" s="14" t="inlineStr">
        <is>
          <t>Pilar</t>
        </is>
      </c>
      <c r="F3" s="14" t="inlineStr">
        <is>
          <t>Tema</t>
        </is>
      </c>
      <c r="G3" s="14" t="inlineStr">
        <is>
          <t>Título</t>
        </is>
      </c>
      <c r="H3" s="14" t="inlineStr">
        <is>
          <t>Copy / Descripción</t>
        </is>
      </c>
      <c r="I3" s="14" t="inlineStr">
        <is>
          <t>Hashtags</t>
        </is>
      </c>
      <c r="J3" s="14" t="inlineStr">
        <is>
          <t>CTA</t>
        </is>
      </c>
      <c r="K3" s="14" t="inlineStr">
        <is>
          <t>Formato</t>
        </is>
      </c>
      <c r="L3" s="14" t="inlineStr">
        <is>
          <t>Estado</t>
        </is>
      </c>
    </row>
    <row r="4" ht="60" customHeight="1">
      <c r="A4" s="8" t="n">
        <v>1</v>
      </c>
      <c r="B4" s="18" t="inlineStr">
        <is>
          <t>Lun</t>
        </is>
      </c>
      <c r="C4" s="19" t="inlineStr">
        <is>
          <t>2026-01-05</t>
        </is>
      </c>
      <c r="D4" s="20" t="inlineStr">
        <is>
          <t>Carrusel</t>
        </is>
      </c>
      <c r="E4" s="21" t="inlineStr">
        <is>
          <t>01 · IA</t>
        </is>
      </c>
      <c r="F4" s="11" t="inlineStr">
        <is>
          <t>Prompts IA empresas</t>
        </is>
      </c>
      <c r="G4" s="22" t="inlineStr">
        <is>
          <t>5 prompts de IA para vender más en WhatsApp</t>
        </is>
      </c>
      <c r="H4" s="11" t="inlineStr">
        <is>
          <t>Carrusel 6 slides con 5 prompts listos para usar en WhatsApp Business: clasificar leads, redactar respuestas, generar cotizaciones, resumir conversaciones y detectar oportunidades. Cada slide: prompt + ejemplo + tip.</t>
        </is>
      </c>
      <c r="I4" s="11" t="inlineStr">
        <is>
          <t>#IA #WhatsAppBusiness #PromptsIA #Automatizacion #Ventas</t>
        </is>
      </c>
      <c r="J4" s="11" t="inlineStr">
        <is>
          <t>Guarda este post</t>
        </is>
      </c>
      <c r="K4" s="23" t="inlineStr">
        <is>
          <t>Carrusel 1080×1350</t>
        </is>
      </c>
      <c r="L4" s="24" t="inlineStr">
        <is>
          <t>Programado</t>
        </is>
      </c>
    </row>
    <row r="5" ht="60" customHeight="1">
      <c r="A5" s="8" t="n">
        <v>1</v>
      </c>
      <c r="B5" s="18" t="inlineStr">
        <is>
          <t>Mar</t>
        </is>
      </c>
      <c r="C5" s="19" t="inlineStr">
        <is>
          <t>2026-01-06</t>
        </is>
      </c>
      <c r="D5" s="25" t="inlineStr">
        <is>
          <t>Reel</t>
        </is>
      </c>
      <c r="E5" s="21" t="inlineStr">
        <is>
          <t>01 · IA</t>
        </is>
      </c>
      <c r="F5" s="11" t="inlineStr">
        <is>
          <t>Bot WhatsApp en 60s</t>
        </is>
      </c>
      <c r="G5" s="22" t="inlineStr">
        <is>
          <t>Cómo montar un bot de WhatsApp en 60 segundos</t>
        </is>
      </c>
      <c r="H5" s="11" t="inlineStr">
        <is>
          <t>Reel vertical 30s. Demo en pantalla dividida: izquierda código/no-code, derecha resultado. Audio trending + voz explicando 3 pasos clave. Hook en primeros 3s.</t>
        </is>
      </c>
      <c r="I5" s="11" t="inlineStr">
        <is>
          <t>#IA #WhatsAppBot #Automatizacion #Tutorial</t>
        </is>
      </c>
      <c r="J5" s="11" t="inlineStr">
        <is>
          <t>Comenta 'BOT' y te envío la guía</t>
        </is>
      </c>
      <c r="K5" s="23" t="inlineStr">
        <is>
          <t>Reel 1080×1920</t>
        </is>
      </c>
      <c r="L5" s="24" t="inlineStr">
        <is>
          <t>Programado</t>
        </is>
      </c>
    </row>
    <row r="6" ht="60" customHeight="1">
      <c r="A6" s="8" t="n">
        <v>1</v>
      </c>
      <c r="B6" s="18" t="inlineStr">
        <is>
          <t>Mié</t>
        </is>
      </c>
      <c r="C6" s="19" t="inlineStr">
        <is>
          <t>2026-01-07</t>
        </is>
      </c>
      <c r="D6" s="20" t="inlineStr">
        <is>
          <t>Carrusel</t>
        </is>
      </c>
      <c r="E6" s="21" t="inlineStr">
        <is>
          <t>04 · Casos</t>
        </is>
      </c>
      <c r="F6" s="11" t="inlineStr">
        <is>
          <t>Mini auditoría restaurante</t>
        </is>
      </c>
      <c r="G6" s="22" t="inlineStr">
        <is>
          <t>Mini auditoría: restaurante que perdió 180 reservas en 2 meses</t>
        </is>
      </c>
      <c r="H6" s="11" t="inlineStr">
        <is>
          <t>Carrusel 7 slides. Slide 1 hook con número impactante. Slides 2-5: 4 errores detectados (sin WhatsApp, web lenta, sin seguimiento, sin reservas online). Slide 6: solución propuesta. Slide 7: CTA a diagnóstico gratuito.</t>
        </is>
      </c>
      <c r="I6" s="11" t="inlineStr">
        <is>
          <t>#Auditoria #Restaurantes #MarketingDigital #Casos</t>
        </is>
      </c>
      <c r="J6" s="11" t="inlineStr">
        <is>
          <t>Agenda tu auditoría</t>
        </is>
      </c>
      <c r="K6" s="23" t="inlineStr">
        <is>
          <t>Carrusel 1080×1350</t>
        </is>
      </c>
      <c r="L6" s="24" t="inlineStr">
        <is>
          <t>Programado</t>
        </is>
      </c>
    </row>
    <row r="7" ht="60" customHeight="1">
      <c r="A7" s="8" t="n">
        <v>1</v>
      </c>
      <c r="B7" s="18" t="inlineStr">
        <is>
          <t>Jue</t>
        </is>
      </c>
      <c r="C7" s="19" t="inlineStr">
        <is>
          <t>2026-01-08</t>
        </is>
      </c>
      <c r="D7" s="25" t="inlineStr">
        <is>
          <t>Reel</t>
        </is>
      </c>
      <c r="E7" s="21" t="inlineStr">
        <is>
          <t>02 · Marketing</t>
        </is>
      </c>
      <c r="F7" s="11" t="inlineStr">
        <is>
          <t>Error en Meta Ads</t>
        </is>
      </c>
      <c r="G7" s="22" t="inlineStr">
        <is>
          <t>El error que te hace perder dinero en Meta Ads</t>
        </is>
      </c>
      <c r="H7" s="11" t="inlineStr">
        <is>
          <t>Reel 25s. Persona mirando cámara, fondo oscuro. Explica el error #1: audiences frías sin warm-up. Muestra 1 fix concreto. Hook: 'Si estás haciendo esto, pierdes plata.'</t>
        </is>
      </c>
      <c r="I7" s="11" t="inlineStr">
        <is>
          <t>#MetaAds #Marketing #PublicidadDigital</t>
        </is>
      </c>
      <c r="J7" s="11" t="inlineStr">
        <is>
          <t>Comenta ADS para guía completa</t>
        </is>
      </c>
      <c r="K7" s="23" t="inlineStr">
        <is>
          <t>Reel 1080×1920</t>
        </is>
      </c>
      <c r="L7" s="24" t="inlineStr">
        <is>
          <t>Programado</t>
        </is>
      </c>
    </row>
    <row r="8" ht="60" customHeight="1">
      <c r="A8" s="8" t="n">
        <v>1</v>
      </c>
      <c r="B8" s="18" t="inlineStr">
        <is>
          <t>Vie</t>
        </is>
      </c>
      <c r="C8" s="19" t="inlineStr">
        <is>
          <t>2026-01-09</t>
        </is>
      </c>
      <c r="D8" s="20" t="inlineStr">
        <is>
          <t>Carrusel</t>
        </is>
      </c>
      <c r="E8" s="21" t="inlineStr">
        <is>
          <t>03 · Antes/Después</t>
        </is>
      </c>
      <c r="F8" s="11" t="inlineStr">
        <is>
          <t>Rediseño marca</t>
        </is>
      </c>
      <c r="G8" s="22" t="inlineStr">
        <is>
          <t>Antes/después: rediseño de marca que duplicó conversión</t>
        </is>
      </c>
      <c r="H8" s="11" t="inlineStr">
        <is>
          <t>Carrusel 6 slides. Slide 1: marca anterior. Slide 2-3: proceso y decisiones. Slide 4-5: marca nueva + aplicaciones. Slide 6: métrica (+180% conversión web). Estilo premium lima/negro.</t>
        </is>
      </c>
      <c r="I8" s="11" t="inlineStr">
        <is>
          <t>#Branding #Rediseño #Casos #IdentidadVisual</t>
        </is>
      </c>
      <c r="J8" s="11" t="inlineStr">
        <is>
          <t>¿Tu marca necesita evolución?</t>
        </is>
      </c>
      <c r="K8" s="23" t="inlineStr">
        <is>
          <t>Carrusel 1080×1350</t>
        </is>
      </c>
      <c r="L8" s="24" t="inlineStr">
        <is>
          <t>Programado</t>
        </is>
      </c>
    </row>
    <row r="9" ht="60" customHeight="1">
      <c r="A9" s="8" t="n">
        <v>1</v>
      </c>
      <c r="B9" s="18" t="inlineStr">
        <is>
          <t>Sáb</t>
        </is>
      </c>
      <c r="C9" s="19" t="inlineStr">
        <is>
          <t>2026-01-10</t>
        </is>
      </c>
      <c r="D9" s="25" t="inlineStr">
        <is>
          <t>Reel</t>
        </is>
      </c>
      <c r="E9" s="21" t="inlineStr">
        <is>
          <t>05 · Cultura</t>
        </is>
      </c>
      <c r="F9" s="11" t="inlineStr">
        <is>
          <t>Backstage sprint</t>
        </is>
      </c>
      <c r="G9" s="22" t="inlineStr">
        <is>
          <t>Inside ELEMENTAL: un día de trabajo con el equipo</t>
        </is>
      </c>
      <c r="H9" s="11" t="inlineStr">
        <is>
          <t>Reel 35s. Edición rápida tipo vlog. Muestra: reunión estrategia, design sprint, call con cliente, implementación IA. Audio instrumental. Texto overlay con momentos clave.</t>
        </is>
      </c>
      <c r="I9" s="11" t="inlineStr">
        <is>
          <t>#Backstage #Agencia #Cultura #Equipo</t>
        </is>
      </c>
      <c r="J9" s="11" t="inlineStr">
        <is>
          <t>Síguenos para más</t>
        </is>
      </c>
      <c r="K9" s="23" t="inlineStr">
        <is>
          <t>Reel 1080×1920</t>
        </is>
      </c>
      <c r="L9" s="24" t="inlineStr">
        <is>
          <t>Programado</t>
        </is>
      </c>
    </row>
    <row r="10" ht="60" customHeight="1">
      <c r="A10" s="8" t="n">
        <v>1</v>
      </c>
      <c r="B10" s="18" t="inlineStr">
        <is>
          <t>Dom</t>
        </is>
      </c>
      <c r="C10" s="19" t="inlineStr">
        <is>
          <t>2026-01-11</t>
        </is>
      </c>
      <c r="D10" s="26" t="inlineStr">
        <is>
          <t>Story + Caso</t>
        </is>
      </c>
      <c r="E10" s="21" t="inlineStr">
        <is>
          <t>04 · Casos</t>
        </is>
      </c>
      <c r="F10" s="11" t="inlineStr">
        <is>
          <t>Caso restaurante</t>
        </is>
      </c>
      <c r="G10" s="22" t="inlineStr">
        <is>
          <t>Caso de éxito: +180% reservas con WhatsApp IA</t>
        </is>
      </c>
      <c r="H10" s="11" t="inlineStr">
        <is>
          <t>Serie de 5 stories. 1: hook con resultado. 2: contexto del cliente. 3: problema. 4: solución implementada. 5: CTA con link a caso completo en bio. Stickers de encuesta y pregunta.</t>
        </is>
      </c>
      <c r="I10" s="11" t="inlineStr">
        <is>
          <t>—</t>
        </is>
      </c>
      <c r="J10" s="11" t="inlineStr">
        <is>
          <t>Toca el link en bio</t>
        </is>
      </c>
      <c r="K10" s="23" t="inlineStr">
        <is>
          <t>Stories 1080×1920</t>
        </is>
      </c>
      <c r="L10" s="24" t="inlineStr">
        <is>
          <t>Programado</t>
        </is>
      </c>
    </row>
    <row r="11" ht="60" customHeight="1">
      <c r="A11" s="8" t="n">
        <v>2</v>
      </c>
      <c r="B11" s="18" t="inlineStr">
        <is>
          <t>Lun</t>
        </is>
      </c>
      <c r="C11" s="19" t="inlineStr">
        <is>
          <t>2026-01-12</t>
        </is>
      </c>
      <c r="D11" s="20" t="inlineStr">
        <is>
          <t>Carrusel</t>
        </is>
      </c>
      <c r="E11" s="21" t="inlineStr">
        <is>
          <t>02 · Marketing</t>
        </is>
      </c>
      <c r="F11" s="11" t="inlineStr">
        <is>
          <t>Embudo ventas</t>
        </is>
      </c>
      <c r="G11" s="22" t="inlineStr">
        <is>
          <t>Embudo de ventas en 6 pasos (con métricas reales)</t>
        </is>
      </c>
      <c r="H11" s="11" t="inlineStr">
        <is>
          <t>Carrusel 8 slides. Diagrama embudo visual con números: 10k alcance → 500 clicks → 120 leads → 80 calificados → 30 propuestas → 12 cierres. Cada slide explica 1 etapa + qué medir. Slide final: CTA a diagnóstico.</t>
        </is>
      </c>
      <c r="I11" s="11" t="inlineStr">
        <is>
          <t>#Embudo #Ventas #Marketing #Funnel</t>
        </is>
      </c>
      <c r="J11" s="11" t="inlineStr">
        <is>
          <t>¿En qué etapa pierdes clientes?</t>
        </is>
      </c>
      <c r="K11" s="23" t="inlineStr">
        <is>
          <t>Carrusel 1080×1350</t>
        </is>
      </c>
      <c r="L11" s="27" t="inlineStr">
        <is>
          <t>Borrador</t>
        </is>
      </c>
    </row>
    <row r="12" ht="60" customHeight="1">
      <c r="A12" s="8" t="n">
        <v>2</v>
      </c>
      <c r="B12" s="18" t="inlineStr">
        <is>
          <t>Mar</t>
        </is>
      </c>
      <c r="C12" s="19" t="inlineStr">
        <is>
          <t>2026-01-13</t>
        </is>
      </c>
      <c r="D12" s="25" t="inlineStr">
        <is>
          <t>Reel</t>
        </is>
      </c>
      <c r="E12" s="21" t="inlineStr">
        <is>
          <t>01 · IA</t>
        </is>
      </c>
      <c r="F12" s="11" t="inlineStr">
        <is>
          <t>Generador cotizaciones IA</t>
        </is>
      </c>
      <c r="G12" s="22" t="inlineStr">
        <is>
          <t>Cómo generar cotizaciones en 3 segundos con IA</t>
        </is>
      </c>
      <c r="H12" s="11" t="inlineStr">
        <is>
          <t>Reel 30s. Demo pantalla: agente IA recibe brief, genera cotización completa en PDF, la envía por WhatsApp. Voz explicando flujo. Hook: 'Lo que tomaba 3 días, ahora 3 segundos.'</t>
        </is>
      </c>
      <c r="I12" s="11" t="inlineStr">
        <is>
          <t>#IA #Cotizaciones #Automatizacion #B2B</t>
        </is>
      </c>
      <c r="J12" s="11" t="inlineStr">
        <is>
          <t>Comenta COTIZA y te muestro</t>
        </is>
      </c>
      <c r="K12" s="23" t="inlineStr">
        <is>
          <t>Reel 1080×1920</t>
        </is>
      </c>
      <c r="L12" s="27" t="inlineStr">
        <is>
          <t>Borrador</t>
        </is>
      </c>
    </row>
    <row r="13" ht="60" customHeight="1">
      <c r="A13" s="8" t="n">
        <v>2</v>
      </c>
      <c r="B13" s="18" t="inlineStr">
        <is>
          <t>Mié</t>
        </is>
      </c>
      <c r="C13" s="19" t="inlineStr">
        <is>
          <t>2026-01-14</t>
        </is>
      </c>
      <c r="D13" s="20" t="inlineStr">
        <is>
          <t>Carrusel</t>
        </is>
      </c>
      <c r="E13" s="21" t="inlineStr">
        <is>
          <t>04 · Casos</t>
        </is>
      </c>
      <c r="F13" s="11" t="inlineStr">
        <is>
          <t>Mini auditoría inmobiliaria</t>
        </is>
      </c>
      <c r="G13" s="22" t="inlineStr">
        <is>
          <t>Mini auditoría: inmobiliaria que perdía 60% de leads</t>
        </is>
      </c>
      <c r="H13" s="11" t="inlineStr">
        <is>
          <t>Carrusel 7 slides. Slide 1: hook con número. Slides 2-5: 4 errores (sin CRM, WhatsApp compartido, sin seguimiento, sin calificación). Slide 6: solución con sistema. Slide 7: CTA diagnóstico.</t>
        </is>
      </c>
      <c r="I13" s="11" t="inlineStr">
        <is>
          <t>#Inmobiliaria #CRM #Leads #Casos</t>
        </is>
      </c>
      <c r="J13" s="11" t="inlineStr">
        <is>
          <t>¿Cuántos leads pierdes?</t>
        </is>
      </c>
      <c r="K13" s="23" t="inlineStr">
        <is>
          <t>Carrusel 1080×1350</t>
        </is>
      </c>
      <c r="L13" s="27" t="inlineStr">
        <is>
          <t>Borrador</t>
        </is>
      </c>
    </row>
    <row r="14" ht="60" customHeight="1">
      <c r="A14" s="8" t="n">
        <v>2</v>
      </c>
      <c r="B14" s="18" t="inlineStr">
        <is>
          <t>Jue</t>
        </is>
      </c>
      <c r="C14" s="19" t="inlineStr">
        <is>
          <t>2026-01-15</t>
        </is>
      </c>
      <c r="D14" s="25" t="inlineStr">
        <is>
          <t>Reel</t>
        </is>
      </c>
      <c r="E14" s="21" t="inlineStr">
        <is>
          <t>02 · Marketing</t>
        </is>
      </c>
      <c r="F14" s="11" t="inlineStr">
        <is>
          <t>Error SEO local</t>
        </is>
      </c>
      <c r="G14" s="22" t="inlineStr">
        <is>
          <t>El #1 error de SEO que mató tu tráfico local</t>
        </is>
      </c>
      <c r="H14" s="11" t="inlineStr">
        <is>
          <t>Reel 25s. Pantalla dividida: web sin optimizar vs web optimizada. Voz explica Google Business Profile + reseñas + structured data. Hook: 'Tu competencia ya lo hizo.'</t>
        </is>
      </c>
      <c r="I14" s="11" t="inlineStr">
        <is>
          <t>#SEO #Local #MarketingDigital #Google</t>
        </is>
      </c>
      <c r="J14" s="11" t="inlineStr">
        <is>
          <t>Comenta SEO y te envío checklist</t>
        </is>
      </c>
      <c r="K14" s="23" t="inlineStr">
        <is>
          <t>Reel 1080×1920</t>
        </is>
      </c>
      <c r="L14" s="27" t="inlineStr">
        <is>
          <t>Borrador</t>
        </is>
      </c>
    </row>
    <row r="15" ht="60" customHeight="1">
      <c r="A15" s="8" t="n">
        <v>2</v>
      </c>
      <c r="B15" s="18" t="inlineStr">
        <is>
          <t>Vie</t>
        </is>
      </c>
      <c r="C15" s="19" t="inlineStr">
        <is>
          <t>2026-01-16</t>
        </is>
      </c>
      <c r="D15" s="20" t="inlineStr">
        <is>
          <t>Carrusel</t>
        </is>
      </c>
      <c r="E15" s="21" t="inlineStr">
        <is>
          <t>03 · Antes/Después</t>
        </is>
      </c>
      <c r="F15" s="11" t="inlineStr">
        <is>
          <t>Web antes/después</t>
        </is>
      </c>
      <c r="G15" s="22" t="inlineStr">
        <is>
          <t>Antes/después: web que pasó de 2s a 0.8s de carga</t>
        </is>
      </c>
      <c r="H15" s="11" t="inlineStr">
        <is>
          <t>Carrusel 6 slides. Slide 1: web antigua con métricas. Slides 2-3: diagnóstico técnico. Slides 4-5: web nueva + optimizaciones. Slide 6: impacto en conversión. Mockups premium.</t>
        </is>
      </c>
      <c r="I15" s="11" t="inlineStr">
        <is>
          <t>#Web #Performance #Desarrollo #UX</t>
        </is>
      </c>
      <c r="J15" s="11" t="inlineStr">
        <is>
          <t>¿Tu web carga rápido?</t>
        </is>
      </c>
      <c r="K15" s="23" t="inlineStr">
        <is>
          <t>Carrusel 1080×1350</t>
        </is>
      </c>
      <c r="L15" s="27" t="inlineStr">
        <is>
          <t>Borrador</t>
        </is>
      </c>
    </row>
    <row r="16" ht="60" customHeight="1">
      <c r="A16" s="8" t="n">
        <v>2</v>
      </c>
      <c r="B16" s="18" t="inlineStr">
        <is>
          <t>Sáb</t>
        </is>
      </c>
      <c r="C16" s="19" t="inlineStr">
        <is>
          <t>2026-01-17</t>
        </is>
      </c>
      <c r="D16" s="25" t="inlineStr">
        <is>
          <t>Reel</t>
        </is>
      </c>
      <c r="E16" s="21" t="inlineStr">
        <is>
          <t>05 · Cultura</t>
        </is>
      </c>
      <c r="F16" s="11" t="inlineStr">
        <is>
          <t>Herramientas ELEMENTAL</t>
        </is>
      </c>
      <c r="G16" s="22" t="inlineStr">
        <is>
          <t>Las 7 herramientas que usamos en ELEMENTAL</t>
        </is>
      </c>
      <c r="H16" s="11" t="inlineStr">
        <is>
          <t>Reel 35s. Listado rápido con pantallas: Notion, Figma, Make, OpenAI, Vercel, Linear, Slack. Una por segundo con texto overlay. Hook: 'Stack 2026 para agencias tech.'</t>
        </is>
      </c>
      <c r="I16" s="11" t="inlineStr">
        <is>
          <t>#Herramientas #Stack #Productividad #Agencia</t>
        </is>
      </c>
      <c r="J16" s="11" t="inlineStr">
        <is>
          <t>¿Cuál usas tú?</t>
        </is>
      </c>
      <c r="K16" s="23" t="inlineStr">
        <is>
          <t>Reel 1080×1920</t>
        </is>
      </c>
      <c r="L16" s="27" t="inlineStr">
        <is>
          <t>Borrador</t>
        </is>
      </c>
    </row>
    <row r="17" ht="60" customHeight="1">
      <c r="A17" s="8" t="n">
        <v>2</v>
      </c>
      <c r="B17" s="18" t="inlineStr">
        <is>
          <t>Dom</t>
        </is>
      </c>
      <c r="C17" s="19" t="inlineStr">
        <is>
          <t>2026-01-18</t>
        </is>
      </c>
      <c r="D17" s="26" t="inlineStr">
        <is>
          <t>Story + Caso</t>
        </is>
      </c>
      <c r="E17" s="21" t="inlineStr">
        <is>
          <t>04 · Casos</t>
        </is>
      </c>
      <c r="F17" s="11" t="inlineStr">
        <is>
          <t>Caso inmobiliaria</t>
        </is>
      </c>
      <c r="G17" s="22" t="inlineStr">
        <is>
          <t>Caso: 320 leads/mes con sistema automatizado</t>
        </is>
      </c>
      <c r="H17" s="11" t="inlineStr">
        <is>
          <t>Serie de 5 stories. 1: hook con métrica. 2: contexto constructora. 3: problema embudo roto. 4: solución landings+CRM+IA. 5: CTA caso completo. Encuesta: '¿Captas leads así?'</t>
        </is>
      </c>
      <c r="I17" s="11" t="inlineStr">
        <is>
          <t>—</t>
        </is>
      </c>
      <c r="J17" s="11" t="inlineStr">
        <is>
          <t>Link en bio</t>
        </is>
      </c>
      <c r="K17" s="23" t="inlineStr">
        <is>
          <t>Stories 1080×1920</t>
        </is>
      </c>
      <c r="L17" s="27" t="inlineStr">
        <is>
          <t>Borrador</t>
        </is>
      </c>
    </row>
    <row r="18" ht="60" customHeight="1">
      <c r="A18" s="8" t="n">
        <v>3</v>
      </c>
      <c r="B18" s="18" t="inlineStr">
        <is>
          <t>Lun</t>
        </is>
      </c>
      <c r="C18" s="19" t="inlineStr">
        <is>
          <t>2026-01-19</t>
        </is>
      </c>
      <c r="D18" s="20" t="inlineStr">
        <is>
          <t>Carrusel</t>
        </is>
      </c>
      <c r="E18" s="21" t="inlineStr">
        <is>
          <t>01 · IA</t>
        </is>
      </c>
      <c r="F18" s="11" t="inlineStr">
        <is>
          <t>Tendencias IA 2026</t>
        </is>
      </c>
      <c r="G18" s="22" t="inlineStr">
        <is>
          <t>7 tendencias de IA para empresas en 2026</t>
        </is>
      </c>
      <c r="H18" s="11" t="inlineStr">
        <is>
          <t>Carrusel 8 slides. Una tendencia por slide: agentes autónomos, voice AI, RAG empresarial, multimodal, copilotos internos, IA generativa video, automatización no-code. Cada slide: tendencia + aplicación práctica + caso breve.</t>
        </is>
      </c>
      <c r="I18" s="11" t="inlineStr">
        <is>
          <t>#IA #Tendencias #2026 #Innovacion</t>
        </is>
      </c>
      <c r="J18" s="11" t="inlineStr">
        <is>
          <t>¿Cuál aplicarás primero?</t>
        </is>
      </c>
      <c r="K18" s="23" t="inlineStr">
        <is>
          <t>Carrusel 1080×1350</t>
        </is>
      </c>
      <c r="L18" s="27" t="inlineStr">
        <is>
          <t>Borrador</t>
        </is>
      </c>
    </row>
    <row r="19" ht="60" customHeight="1">
      <c r="A19" s="8" t="n">
        <v>3</v>
      </c>
      <c r="B19" s="18" t="inlineStr">
        <is>
          <t>Mar</t>
        </is>
      </c>
      <c r="C19" s="19" t="inlineStr">
        <is>
          <t>2026-01-20</t>
        </is>
      </c>
      <c r="D19" s="25" t="inlineStr">
        <is>
          <t>Reel</t>
        </is>
      </c>
      <c r="E19" s="21" t="inlineStr">
        <is>
          <t>01 · IA</t>
        </is>
      </c>
      <c r="F19" s="11" t="inlineStr">
        <is>
          <t>Voice AI demo</t>
        </is>
      </c>
      <c r="G19" s="22" t="inlineStr">
        <is>
          <t>Demo: agente de voz que atiende clientes 24/7</t>
        </is>
      </c>
      <c r="H19" s="11" t="inlineStr">
        <is>
          <t>Reel 30s. Llamada real simulada: cliente pregunta por horario y precios, agente IA responde natural, agenda cita. Pantalla dividida con波形. Hook: 'Esto no es futuro, es hoy.'</t>
        </is>
      </c>
      <c r="I19" s="11" t="inlineStr">
        <is>
          <t>#VoiceAI #IA #AtencionAutomatica</t>
        </is>
      </c>
      <c r="J19" s="11" t="inlineStr">
        <is>
          <t>Comenta VOZ y te envío demo</t>
        </is>
      </c>
      <c r="K19" s="23" t="inlineStr">
        <is>
          <t>Reel 1080×1920</t>
        </is>
      </c>
      <c r="L19" s="27" t="inlineStr">
        <is>
          <t>Borrador</t>
        </is>
      </c>
    </row>
    <row r="20" ht="60" customHeight="1">
      <c r="A20" s="8" t="n">
        <v>3</v>
      </c>
      <c r="B20" s="18" t="inlineStr">
        <is>
          <t>Mié</t>
        </is>
      </c>
      <c r="C20" s="19" t="inlineStr">
        <is>
          <t>2026-01-21</t>
        </is>
      </c>
      <c r="D20" s="20" t="inlineStr">
        <is>
          <t>Carrusel</t>
        </is>
      </c>
      <c r="E20" s="21" t="inlineStr">
        <is>
          <t>04 · Casos</t>
        </is>
      </c>
      <c r="F20" s="11" t="inlineStr">
        <is>
          <t>Mini auditoría servicios B2B</t>
        </is>
      </c>
      <c r="G20" s="22" t="inlineStr">
        <is>
          <t>Mini auditoría: empresa B2B que tardaba 3 días en cotizar</t>
        </is>
      </c>
      <c r="H20" s="11" t="inlineStr">
        <is>
          <t>Carrusel 7 slides. Slide 1: hook. Slides 2-5: diagnóstico (sin plantillas, 3 áreas, sin seguimiento, sin visibilidad). Slide 6: sistema con IA. Slide 7: resultado -85% tiempo + CTA.</t>
        </is>
      </c>
      <c r="I20" s="11" t="inlineStr">
        <is>
          <t>#B2B #Cotizaciones #Automatizacion #Casos</t>
        </is>
      </c>
      <c r="J20" s="11" t="inlineStr">
        <is>
          <t>¿Cuánto tardas en cotizar?</t>
        </is>
      </c>
      <c r="K20" s="23" t="inlineStr">
        <is>
          <t>Carrusel 1080×1350</t>
        </is>
      </c>
      <c r="L20" s="27" t="inlineStr">
        <is>
          <t>Borrador</t>
        </is>
      </c>
    </row>
    <row r="21" ht="60" customHeight="1">
      <c r="A21" s="8" t="n">
        <v>3</v>
      </c>
      <c r="B21" s="18" t="inlineStr">
        <is>
          <t>Jue</t>
        </is>
      </c>
      <c r="C21" s="19" t="inlineStr">
        <is>
          <t>2026-01-22</t>
        </is>
      </c>
      <c r="D21" s="25" t="inlineStr">
        <is>
          <t>Reel</t>
        </is>
      </c>
      <c r="E21" s="21" t="inlineStr">
        <is>
          <t>02 · Marketing</t>
        </is>
      </c>
      <c r="F21" s="11" t="inlineStr">
        <is>
          <t>Email marketing 2026</t>
        </is>
      </c>
      <c r="G21" s="22" t="inlineStr">
        <is>
          <t>Email marketing en 2026: lo que ya NO funciona</t>
        </is>
      </c>
      <c r="H21" s="11" t="inlineStr">
        <is>
          <t>Reel 25s. 3 cosas que ya no funcionan: newsletters genéricos, asuntos clickbait, frecuencia fija. 3 que sí: segmentación por comportamiento, IA en copy, automatización por evento.</t>
        </is>
      </c>
      <c r="I21" s="11" t="inlineStr">
        <is>
          <t>#EmailMarketing #Marketing #Digital</t>
        </is>
      </c>
      <c r="J21" s="11" t="inlineStr">
        <is>
          <t>Comenta EMAIL y te envío plantilla</t>
        </is>
      </c>
      <c r="K21" s="23" t="inlineStr">
        <is>
          <t>Reel 1080×1920</t>
        </is>
      </c>
      <c r="L21" s="27" t="inlineStr">
        <is>
          <t>Borrador</t>
        </is>
      </c>
    </row>
    <row r="22" ht="60" customHeight="1">
      <c r="A22" s="8" t="n">
        <v>3</v>
      </c>
      <c r="B22" s="18" t="inlineStr">
        <is>
          <t>Vie</t>
        </is>
      </c>
      <c r="C22" s="19" t="inlineStr">
        <is>
          <t>2026-01-23</t>
        </is>
      </c>
      <c r="D22" s="20" t="inlineStr">
        <is>
          <t>Carrusel</t>
        </is>
      </c>
      <c r="E22" s="21" t="inlineStr">
        <is>
          <t>03 · Antes/Después</t>
        </is>
      </c>
      <c r="F22" s="11" t="inlineStr">
        <is>
          <t>Dashboard antes/después</t>
        </is>
      </c>
      <c r="G22" s="22" t="inlineStr">
        <is>
          <t>Antes/después: de Excel caótico a dashboard en vivo</t>
        </is>
      </c>
      <c r="H22" s="11" t="inlineStr">
        <is>
          <t>Carrusel 6 slides. Slide 1: screenshot Excel desordenado. Slides 2-3: problema de visibilidad. Slides 4-5: dashboard nuevo con KPIs lima. Slide 6: impacto decisiones + tiempo ahorrado.</t>
        </is>
      </c>
      <c r="I22" s="11" t="inlineStr">
        <is>
          <t>#Dashboard #Datos #Analitica #Casos</t>
        </is>
      </c>
      <c r="J22" s="11" t="inlineStr">
        <is>
          <t>¿Tomas decisiones con datos?</t>
        </is>
      </c>
      <c r="K22" s="23" t="inlineStr">
        <is>
          <t>Carrusel 1080×1350</t>
        </is>
      </c>
      <c r="L22" s="27" t="inlineStr">
        <is>
          <t>Borrador</t>
        </is>
      </c>
    </row>
    <row r="23" ht="60" customHeight="1">
      <c r="A23" s="8" t="n">
        <v>3</v>
      </c>
      <c r="B23" s="18" t="inlineStr">
        <is>
          <t>Sáb</t>
        </is>
      </c>
      <c r="C23" s="19" t="inlineStr">
        <is>
          <t>2026-01-24</t>
        </is>
      </c>
      <c r="D23" s="25" t="inlineStr">
        <is>
          <t>Reel</t>
        </is>
      </c>
      <c r="E23" s="21" t="inlineStr">
        <is>
          <t>05 · Cultura</t>
        </is>
      </c>
      <c r="F23" s="11" t="inlineStr">
        <is>
          <t>Metodología ELEMENTAL</t>
        </is>
      </c>
      <c r="G23" s="22" t="inlineStr">
        <is>
          <t>Nuestra metodología en 5 fases (sin humo)</t>
        </is>
      </c>
      <c r="H23" s="11" t="inlineStr">
        <is>
          <t>Reel 35s. Explicación visual: 01 Estrategia → 02 Identidad → 03 Web → 04 Portafolio → 05 Redes &amp; ventas. Cada fase con ícono y entregable claro. Hook: 'Así pasamos de idea a sistema.'</t>
        </is>
      </c>
      <c r="I23" s="11" t="inlineStr">
        <is>
          <t>#Metodologia #Agencia #Proceso</t>
        </is>
      </c>
      <c r="J23" s="11" t="inlineStr">
        <is>
          <t>Síguenos para más</t>
        </is>
      </c>
      <c r="K23" s="23" t="inlineStr">
        <is>
          <t>Reel 1080×1920</t>
        </is>
      </c>
      <c r="L23" s="27" t="inlineStr">
        <is>
          <t>Borrador</t>
        </is>
      </c>
    </row>
    <row r="24" ht="60" customHeight="1">
      <c r="A24" s="8" t="n">
        <v>3</v>
      </c>
      <c r="B24" s="18" t="inlineStr">
        <is>
          <t>Dom</t>
        </is>
      </c>
      <c r="C24" s="19" t="inlineStr">
        <is>
          <t>2026-01-25</t>
        </is>
      </c>
      <c r="D24" s="26" t="inlineStr">
        <is>
          <t>Story + Caso</t>
        </is>
      </c>
      <c r="E24" s="21" t="inlineStr">
        <is>
          <t>04 · Casos</t>
        </is>
      </c>
      <c r="F24" s="11" t="inlineStr">
        <is>
          <t>Caso servicios B2B</t>
        </is>
      </c>
      <c r="G24" s="22" t="inlineStr">
        <is>
          <t>Caso: -85% tiempo en cotizaciones con IA</t>
        </is>
      </c>
      <c r="H24" s="11" t="inlineStr">
        <is>
          <t>Serie de 5 stories. 1: métrica impactante. 2: contexto empresa. 3: problema cotizaciones lentas. 4: solución IA + CRM + dashboard. 5: CTA caso completo. Pregunta: '¿Cuánto tardas en cotizar?'</t>
        </is>
      </c>
      <c r="I24" s="11" t="inlineStr">
        <is>
          <t>—</t>
        </is>
      </c>
      <c r="J24" s="11" t="inlineStr">
        <is>
          <t>Link en bio</t>
        </is>
      </c>
      <c r="K24" s="23" t="inlineStr">
        <is>
          <t>Stories 1080×1920</t>
        </is>
      </c>
      <c r="L24" s="27" t="inlineStr">
        <is>
          <t>Borrador</t>
        </is>
      </c>
    </row>
    <row r="25" ht="60" customHeight="1">
      <c r="A25" s="8" t="n">
        <v>4</v>
      </c>
      <c r="B25" s="18" t="inlineStr">
        <is>
          <t>Lun</t>
        </is>
      </c>
      <c r="C25" s="19" t="inlineStr">
        <is>
          <t>2026-01-26</t>
        </is>
      </c>
      <c r="D25" s="20" t="inlineStr">
        <is>
          <t>Carrusel</t>
        </is>
      </c>
      <c r="E25" s="21" t="inlineStr">
        <is>
          <t>02 · Marketing</t>
        </is>
      </c>
      <c r="F25" s="11" t="inlineStr">
        <is>
          <t>SEO en 2026</t>
        </is>
      </c>
      <c r="G25" s="22" t="inlineStr">
        <is>
          <t>SEO en 2026: 9 cosas que cambiarán este año</t>
        </is>
      </c>
      <c r="H25" s="11" t="inlineStr">
        <is>
          <t>Carrusel 10 slides. Slide 1: hook con 9 puntos. Slides 2-9: una tendencia por slide (SGE, voice search, E-E-A-T, video SEO, AI overviews, local, core web vitals, contenido helpful, schema). Slide 10: CTA a auditoría SEO gratuita.</t>
        </is>
      </c>
      <c r="I25" s="11" t="inlineStr">
        <is>
          <t>#SEO #2026 #Marketing #Tendencias</t>
        </is>
      </c>
      <c r="J25" s="11" t="inlineStr">
        <is>
          <t>Comenta SEO y te audito</t>
        </is>
      </c>
      <c r="K25" s="23" t="inlineStr">
        <is>
          <t>Carrusel 1080×1350</t>
        </is>
      </c>
      <c r="L25" s="27" t="inlineStr">
        <is>
          <t>Borrador</t>
        </is>
      </c>
    </row>
    <row r="26" ht="60" customHeight="1">
      <c r="A26" s="8" t="n">
        <v>4</v>
      </c>
      <c r="B26" s="18" t="inlineStr">
        <is>
          <t>Mar</t>
        </is>
      </c>
      <c r="C26" s="19" t="inlineStr">
        <is>
          <t>2026-01-27</t>
        </is>
      </c>
      <c r="D26" s="25" t="inlineStr">
        <is>
          <t>Reel</t>
        </is>
      </c>
      <c r="E26" s="21" t="inlineStr">
        <is>
          <t>01 · IA</t>
        </is>
      </c>
      <c r="F26" s="11" t="inlineStr">
        <is>
          <t>Make vs n8n</t>
        </is>
      </c>
      <c r="G26" s="22" t="inlineStr">
        <is>
          <t>Make vs n8n: ¿cuál elegir para automatizar?</t>
        </is>
      </c>
      <c r="H26" s="11" t="inlineStr">
        <is>
          <t>Reel 30s. Comparación rápida: Make = visual + fácil, n8n = open source + flexible. Casos de uso para cada uno. Hook: 'Te ahorro 3 horas de investigación.'</t>
        </is>
      </c>
      <c r="I26" s="11" t="inlineStr">
        <is>
          <t>#Automatizacion #Make #n8n #NoCode</t>
        </is>
      </c>
      <c r="J26" s="11" t="inlineStr">
        <is>
          <t>¿Cuál usas tú?</t>
        </is>
      </c>
      <c r="K26" s="23" t="inlineStr">
        <is>
          <t>Reel 1080×1920</t>
        </is>
      </c>
      <c r="L26" s="27" t="inlineStr">
        <is>
          <t>Borrador</t>
        </is>
      </c>
    </row>
    <row r="27" ht="60" customHeight="1">
      <c r="A27" s="8" t="n">
        <v>4</v>
      </c>
      <c r="B27" s="18" t="inlineStr">
        <is>
          <t>Mié</t>
        </is>
      </c>
      <c r="C27" s="19" t="inlineStr">
        <is>
          <t>2026-01-28</t>
        </is>
      </c>
      <c r="D27" s="20" t="inlineStr">
        <is>
          <t>Carrusel</t>
        </is>
      </c>
      <c r="E27" s="21" t="inlineStr">
        <is>
          <t>04 · Casos</t>
        </is>
      </c>
      <c r="F27" s="11" t="inlineStr">
        <is>
          <t>Caso integral 360</t>
        </is>
      </c>
      <c r="G27" s="22" t="inlineStr">
        <is>
          <t>Caso 360: marca + web + IA + CRM en 8 semanas</t>
        </is>
      </c>
      <c r="H27" s="11" t="inlineStr">
        <is>
          <t>Carrusel 9 slides. Slide 1: hook. Slides 2-3: cliente y reto. Slides 4-7: 4 entregables (marca, web, IA, CRM) con screenshots. Slide 8: métricas a 90 días. Slide 9: testimonio + CTA.</t>
        </is>
      </c>
      <c r="I27" s="11" t="inlineStr">
        <is>
          <t>#Caso360 #Branding #Web #IA #CRM</t>
        </is>
      </c>
      <c r="J27" s="11" t="inlineStr">
        <is>
          <t>¿Tu empresa necesita esto?</t>
        </is>
      </c>
      <c r="K27" s="23" t="inlineStr">
        <is>
          <t>Carrusel 1080×1350</t>
        </is>
      </c>
      <c r="L27" s="27" t="inlineStr">
        <is>
          <t>Borrador</t>
        </is>
      </c>
    </row>
    <row r="28" ht="60" customHeight="1">
      <c r="A28" s="8" t="n">
        <v>4</v>
      </c>
      <c r="B28" s="18" t="inlineStr">
        <is>
          <t>Jue</t>
        </is>
      </c>
      <c r="C28" s="19" t="inlineStr">
        <is>
          <t>2026-01-29</t>
        </is>
      </c>
      <c r="D28" s="25" t="inlineStr">
        <is>
          <t>Reel</t>
        </is>
      </c>
      <c r="E28" s="21" t="inlineStr">
        <is>
          <t>02 · Marketing</t>
        </is>
      </c>
      <c r="F28" s="11" t="inlineStr">
        <is>
          <t>Hook para Reels</t>
        </is>
      </c>
      <c r="G28" s="22" t="inlineStr">
        <is>
          <t>3 hooks que disparan tus vistas en Reels</t>
        </is>
      </c>
      <c r="H28" s="11" t="inlineStr">
        <is>
          <t>Reel 25s. Ejemplos de hooks que funcionan: número impactante, pregunta incómoda, contradicción. Voz + texto overlay. Hook del propio reel: 'Probé 100 hooks y estos 3 funcionan.'</t>
        </is>
      </c>
      <c r="I28" s="11" t="inlineStr">
        <is>
          <t>#Reels #Hooks #Instagram #Marketing</t>
        </is>
      </c>
      <c r="J28" s="11" t="inlineStr">
        <is>
          <t>Comenta HOOK y te envío lista</t>
        </is>
      </c>
      <c r="K28" s="23" t="inlineStr">
        <is>
          <t>Reel 1080×1920</t>
        </is>
      </c>
      <c r="L28" s="27" t="inlineStr">
        <is>
          <t>Borrador</t>
        </is>
      </c>
    </row>
    <row r="29" ht="60" customHeight="1">
      <c r="A29" s="8" t="n">
        <v>4</v>
      </c>
      <c r="B29" s="18" t="inlineStr">
        <is>
          <t>Vie</t>
        </is>
      </c>
      <c r="C29" s="19" t="inlineStr">
        <is>
          <t>2026-01-30</t>
        </is>
      </c>
      <c r="D29" s="20" t="inlineStr">
        <is>
          <t>Carrusel</t>
        </is>
      </c>
      <c r="E29" s="21" t="inlineStr">
        <is>
          <t>03 · Antes/Después</t>
        </is>
      </c>
      <c r="F29" s="11" t="inlineStr">
        <is>
          <t>CRM antes/después</t>
        </is>
      </c>
      <c r="G29" s="22" t="inlineStr">
        <is>
          <t>Antes/después: de WhatsApp caótico a CRM en 2 semanas</t>
        </is>
      </c>
      <c r="H29" s="11" t="inlineStr">
        <is>
          <t>Carrusel 6 slides. Slide 1: WhatsApp desordenado. Slides 2-3: problema visibilidad. Slides 4-5: CRM organizado con pipeline. Slide 6: +60% conversión. Mockups lima/negro.</t>
        </is>
      </c>
      <c r="I29" s="11" t="inlineStr">
        <is>
          <t>#CRM #Ventas #Organizacion #Casos</t>
        </is>
      </c>
      <c r="J29" s="11" t="inlineStr">
        <is>
          <t>¿Usas CRM o WhatsApp?</t>
        </is>
      </c>
      <c r="K29" s="23" t="inlineStr">
        <is>
          <t>Carrusel 1080×1350</t>
        </is>
      </c>
      <c r="L29" s="27" t="inlineStr">
        <is>
          <t>Borrador</t>
        </is>
      </c>
    </row>
    <row r="30" ht="60" customHeight="1">
      <c r="A30" s="8" t="n">
        <v>4</v>
      </c>
      <c r="B30" s="18" t="inlineStr">
        <is>
          <t>Sáb</t>
        </is>
      </c>
      <c r="C30" s="19" t="inlineStr">
        <is>
          <t>2026-01-31</t>
        </is>
      </c>
      <c r="D30" s="25" t="inlineStr">
        <is>
          <t>Reel</t>
        </is>
      </c>
      <c r="E30" s="21" t="inlineStr">
        <is>
          <t>05 · Cultura</t>
        </is>
      </c>
      <c r="F30" s="11" t="inlineStr">
        <is>
          <t>Equipo remoto ELEMENTAL</t>
        </is>
      </c>
      <c r="G30" s="22" t="inlineStr">
        <is>
          <t>Cómo trabajamos remoto en ELEMENTAL (sin reuniones inútiles)</t>
        </is>
      </c>
      <c r="H30" s="11" t="inlineStr">
        <is>
          <t>Reel 35s. Día típico: async en Notion, daily 15min, deep work, ship. Tips de productividad. Hook: 'Trabajamos 6h y producimos más que 12h.'</t>
        </is>
      </c>
      <c r="I30" s="11" t="inlineStr">
        <is>
          <t>#Remoto #Productividad #Equipo #Async</t>
        </is>
      </c>
      <c r="J30" s="11" t="inlineStr">
        <is>
          <t>Síguenos para más</t>
        </is>
      </c>
      <c r="K30" s="23" t="inlineStr">
        <is>
          <t>Reel 1080×1920</t>
        </is>
      </c>
      <c r="L30" s="27" t="inlineStr">
        <is>
          <t>Borrador</t>
        </is>
      </c>
    </row>
    <row r="31" ht="60" customHeight="1">
      <c r="A31" s="8" t="n">
        <v>4</v>
      </c>
      <c r="B31" s="18" t="inlineStr">
        <is>
          <t>Dom</t>
        </is>
      </c>
      <c r="C31" s="19" t="inlineStr">
        <is>
          <t>2026-02-01</t>
        </is>
      </c>
      <c r="D31" s="26" t="inlineStr">
        <is>
          <t>Story + Caso</t>
        </is>
      </c>
      <c r="E31" s="21" t="inlineStr">
        <is>
          <t>04 · Casos</t>
        </is>
      </c>
      <c r="F31" s="11" t="inlineStr">
        <is>
          <t>Resumen mes</t>
        </is>
      </c>
      <c r="G31" s="22" t="inlineStr">
        <is>
          <t>Resumen del mes: 3 casos, 3 métricas, 3 aprendizajes</t>
        </is>
      </c>
      <c r="H31" s="11" t="inlineStr">
        <is>
          <t>Serie de 7 stories. 1: hook. 2-4: un caso por story con métrica. 5-6: aprendizajes clave. 7: CTA diagnóstico gratuito. Encuesta: '¿Cuál caso se parece a tu reto?'</t>
        </is>
      </c>
      <c r="I31" s="11" t="inlineStr">
        <is>
          <t>—</t>
        </is>
      </c>
      <c r="J31" s="11" t="inlineStr">
        <is>
          <t>Agenda diagnóstico</t>
        </is>
      </c>
      <c r="K31" s="23" t="inlineStr">
        <is>
          <t>Stories 1080×1920</t>
        </is>
      </c>
      <c r="L31" s="27" t="inlineStr">
        <is>
          <t>Borrador</t>
        </is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</sheetData>
  <autoFilter ref="A3:L31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4" customWidth="1" min="4" max="4"/>
    <col width="16" customWidth="1" min="5" max="5"/>
    <col width="38" customWidth="1" min="6" max="6"/>
    <col width="24" customWidth="1" min="7" max="7"/>
    <col width="26" customWidth="1" min="8" max="8"/>
    <col width="2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6" t="inlineStr">
        <is>
          <t>FORMATOS Y ESPECIFICACIONES</t>
        </is>
      </c>
    </row>
    <row r="3">
      <c r="A3" s="1" t="n"/>
      <c r="B3" s="17" t="inlineStr">
        <is>
          <t>Especificaciones técnicas por formato. Todas las piezas respetan paleta ELEMENTAL.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28" customHeight="1">
      <c r="A5" s="1" t="n"/>
      <c r="B5" s="14" t="inlineStr">
        <is>
          <t>Formato</t>
        </is>
      </c>
      <c r="C5" s="14" t="inlineStr">
        <is>
          <t>Dimensiones</t>
        </is>
      </c>
      <c r="D5" s="14" t="inlineStr">
        <is>
          <t>Duración</t>
        </is>
      </c>
      <c r="E5" s="14" t="inlineStr">
        <is>
          <t>Pilar sugerido</t>
        </is>
      </c>
      <c r="F5" s="14" t="inlineStr">
        <is>
          <t>Estructura</t>
        </is>
      </c>
      <c r="G5" s="14" t="inlineStr">
        <is>
          <t>Tipografía</t>
        </is>
      </c>
      <c r="H5" s="14" t="inlineStr">
        <is>
          <t>Paleta</t>
        </is>
      </c>
      <c r="I5" s="14" t="inlineStr">
        <is>
          <t>CTA típico</t>
        </is>
      </c>
    </row>
    <row r="6" ht="90" customHeight="1">
      <c r="A6" s="1" t="n"/>
      <c r="B6" s="28" t="inlineStr">
        <is>
          <t>Carrusel</t>
        </is>
      </c>
      <c r="C6" s="29" t="inlineStr">
        <is>
          <t>1080×1350 px</t>
        </is>
      </c>
      <c r="D6" s="11" t="inlineStr">
        <is>
          <t>6-10 slides</t>
        </is>
      </c>
      <c r="E6" s="11" t="inlineStr">
        <is>
          <t>01, 02, 03, 04</t>
        </is>
      </c>
      <c r="F6" s="11" t="inlineStr">
        <is>
          <t>Slide 1 hook con número o pregunta. Slides 2-N: 1 idea por slide con título corto + cuerpo breve. Slide final: CTA claro.</t>
        </is>
      </c>
      <c r="G6" s="11" t="inlineStr">
        <is>
          <t>Space Grotesk 700 para títulos. Inter 400 para cuerpo. JetBrains Mono para tags.</t>
        </is>
      </c>
      <c r="H6" s="11" t="inlineStr">
        <is>
          <t>Fondo #0D0D0D. Acentos #C8D400 (máx 10%). Texto #FFFFFF.</t>
        </is>
      </c>
      <c r="I6" s="11" t="inlineStr">
        <is>
          <t>Guarda / Comenta / Link en bio</t>
        </is>
      </c>
    </row>
    <row r="7" ht="90" customHeight="1">
      <c r="A7" s="1" t="n"/>
      <c r="B7" s="28" t="inlineStr">
        <is>
          <t>Reel</t>
        </is>
      </c>
      <c r="C7" s="29" t="inlineStr">
        <is>
          <t>1080×1920 px</t>
        </is>
      </c>
      <c r="D7" s="11" t="inlineStr">
        <is>
          <t>25-35 seg</t>
        </is>
      </c>
      <c r="E7" s="11" t="inlineStr">
        <is>
          <t>01, 02, 05</t>
        </is>
      </c>
      <c r="F7" s="11" t="inlineStr">
        <is>
          <t>Hook en primeros 3s (número o contradicción). Desarrollo 15-20s con 1 idea clara. CTA en últimos 5s. Texto overlay grande. Subtítulos siempre.</t>
        </is>
      </c>
      <c r="G7" s="11" t="inlineStr">
        <is>
          <t>Space Grotesk 700 overlay. Voz clara, audio trending si aplica.</t>
        </is>
      </c>
      <c r="H7" s="11" t="inlineStr">
        <is>
          <t>Fondo oscuro. Acento lima en texto overlay clave. Bordes limpios.</t>
        </is>
      </c>
      <c r="I7" s="11" t="inlineStr">
        <is>
          <t>Comenta [palabra clave]</t>
        </is>
      </c>
    </row>
    <row r="8" ht="90" customHeight="1">
      <c r="A8" s="1" t="n"/>
      <c r="B8" s="28" t="inlineStr">
        <is>
          <t>Story</t>
        </is>
      </c>
      <c r="C8" s="29" t="inlineStr">
        <is>
          <t>1080×1920 px</t>
        </is>
      </c>
      <c r="D8" s="11" t="inlineStr">
        <is>
          <t>5-7 stories</t>
        </is>
      </c>
      <c r="E8" s="11" t="inlineStr">
        <is>
          <t>04 (casos)</t>
        </is>
      </c>
      <c r="F8" s="11" t="inlineStr">
        <is>
          <t>Story 1: hook con métrica. Story 2-3: contexto y problema. Story 4-5: solución. Story final: CTA con sticker o link. Encuestas y preguntas para engagement.</t>
        </is>
      </c>
      <c r="G8" s="11" t="inlineStr">
        <is>
          <t>Space Grotesk 700 para hook. Inter 400 para cuerpo.</t>
        </is>
      </c>
      <c r="H8" s="11" t="inlineStr">
        <is>
          <t>Fondo #0D0D0D o foto con overlay negro 70%. Acento lima en métricas.</t>
        </is>
      </c>
      <c r="I8" s="11" t="inlineStr">
        <is>
          <t>Link en bio / Toca aquí</t>
        </is>
      </c>
    </row>
    <row r="9" ht="90" customHeight="1">
      <c r="A9" s="1" t="n"/>
      <c r="B9" s="28" t="inlineStr">
        <is>
          <t>Live / Webinar</t>
        </is>
      </c>
      <c r="C9" s="29" t="inlineStr">
        <is>
          <t>1920×1080 px</t>
        </is>
      </c>
      <c r="D9" s="11" t="inlineStr">
        <is>
          <t>30-45 min</t>
        </is>
      </c>
      <c r="E9" s="11" t="inlineStr">
        <is>
          <t>01, 02</t>
        </is>
      </c>
      <c r="F9" s="11" t="inlineStr">
        <is>
          <t>Estructura: 5min intro, 20min contenido educativo, 10min Q&amp;A, 5min CTA. Mínimo 3 ejemplos prácticos. Material descargable al final.</t>
        </is>
      </c>
      <c r="G9" s="11" t="inlineStr">
        <is>
          <t>Slide deck con Space Grotesk 700 + Inter 400.</t>
        </is>
      </c>
      <c r="H9" s="11" t="inlineStr">
        <is>
          <t>Fondo oscuro, slides con mucho espacio negativo. Acento lima en datos clave.</t>
        </is>
      </c>
      <c r="I9" s="11" t="inlineStr">
        <is>
          <t>Agenda diagnóstico</t>
        </is>
      </c>
    </row>
    <row r="10" ht="90" customHeight="1">
      <c r="A10" s="1" t="n"/>
      <c r="B10" s="28" t="inlineStr">
        <is>
          <t>Post premium</t>
        </is>
      </c>
      <c r="C10" s="29" t="inlineStr">
        <is>
          <t>1080×1080 px</t>
        </is>
      </c>
      <c r="D10" s="11" t="inlineStr">
        <is>
          <t>1 imagen</t>
        </is>
      </c>
      <c r="E10" s="11" t="inlineStr">
        <is>
          <t>02, 05</t>
        </is>
      </c>
      <c r="F10" s="11" t="inlineStr">
        <is>
          <t>Frase estratégica o quote. Tipografía grande, mucho espacio negativo, máximo 15 palabras. Logo en esquina inferior.</t>
        </is>
      </c>
      <c r="G10" s="11" t="inlineStr">
        <is>
          <t>Space Grotesk 700 grande para frase. Logo pequeño en esquina.</t>
        </is>
      </c>
      <c r="H10" s="11" t="inlineStr">
        <is>
          <t>Fondo #0D0D0D. Texto #FFFFFF. Acento lima en máximo 1 palabra.</t>
        </is>
      </c>
      <c r="I10" s="11" t="inlineStr">
        <is>
          <t>Comparte si te resonó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6" t="inlineStr">
        <is>
          <t>PILARES Y BANCO DE TEMAS</t>
        </is>
      </c>
      <c r="I2" s="1" t="n"/>
    </row>
    <row r="3">
      <c r="A3" s="1" t="n"/>
      <c r="B3" s="17" t="inlineStr">
        <is>
          <t>Banco de ideas por pilar para alimentar 12+ semanas de contenido sin bloqueo creativo.</t>
        </is>
      </c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28" customHeight="1">
      <c r="A5" s="1" t="n"/>
      <c r="B5" s="14" t="inlineStr">
        <is>
          <t>Pilar</t>
        </is>
      </c>
      <c r="C5" s="14" t="inlineStr">
        <is>
          <t>Descripción</t>
        </is>
      </c>
      <c r="D5" s="14" t="inlineStr">
        <is>
          <t>Tema 1</t>
        </is>
      </c>
      <c r="E5" s="14" t="inlineStr">
        <is>
          <t>Tema 2</t>
        </is>
      </c>
      <c r="F5" s="14" t="inlineStr">
        <is>
          <t>Tema 3</t>
        </is>
      </c>
      <c r="G5" s="14" t="inlineStr">
        <is>
          <t>Tema 4</t>
        </is>
      </c>
      <c r="H5" s="14" t="inlineStr">
        <is>
          <t>Tema 5</t>
        </is>
      </c>
      <c r="I5" s="1" t="n"/>
    </row>
    <row r="6" ht="75" customHeight="1">
      <c r="A6" s="1" t="n"/>
      <c r="B6" s="30" t="inlineStr">
        <is>
          <t>01 · IA para empresas</t>
        </is>
      </c>
      <c r="C6" s="31" t="inlineStr">
        <is>
          <t>Prompts, bots, automatizaciones, casos prácticos y tendencias aplicadas.</t>
        </is>
      </c>
      <c r="D6" s="11" t="inlineStr">
        <is>
          <t>5 prompts IA para WhatsApp</t>
        </is>
      </c>
      <c r="E6" s="11" t="inlineStr">
        <is>
          <t>Cómo montar voice AI en 1 día</t>
        </is>
      </c>
      <c r="F6" s="11" t="inlineStr">
        <is>
          <t>Agentes autónomos: guía 2026</t>
        </is>
      </c>
      <c r="G6" s="11" t="inlineStr">
        <is>
          <t>RAG empresarial: qué es y cómo usarlo</t>
        </is>
      </c>
      <c r="H6" s="11" t="inlineStr">
        <is>
          <t>IA generativa para contenido</t>
        </is>
      </c>
      <c r="I6" s="1" t="n"/>
    </row>
    <row r="7" ht="75" customHeight="1">
      <c r="A7" s="1" t="n"/>
      <c r="B7" s="30" t="inlineStr">
        <is>
          <t>02 · Marketing y ventas</t>
        </is>
      </c>
      <c r="C7" s="31" t="inlineStr">
        <is>
          <t>Embudos, anuncios, contenido, SEO, redes y estrategias de conversión.</t>
        </is>
      </c>
      <c r="D7" s="11" t="inlineStr">
        <is>
          <t>Embudo de ventas en 6 pasos</t>
        </is>
      </c>
      <c r="E7" s="11" t="inlineStr">
        <is>
          <t>Meta Ads: errores comunes 2026</t>
        </is>
      </c>
      <c r="F7" s="11" t="inlineStr">
        <is>
          <t>SEO local: checklist completo</t>
        </is>
      </c>
      <c r="G7" s="11" t="inlineStr">
        <is>
          <t>Email marketing que convierte</t>
        </is>
      </c>
      <c r="H7" s="11" t="inlineStr">
        <is>
          <t>Hooks para Reels que funcionan</t>
        </is>
      </c>
      <c r="I7" s="1" t="n"/>
    </row>
    <row r="8" ht="75" customHeight="1">
      <c r="A8" s="1" t="n"/>
      <c r="B8" s="30" t="inlineStr">
        <is>
          <t>03 · Antes / después</t>
        </is>
      </c>
      <c r="C8" s="31" t="inlineStr">
        <is>
          <t>Transformaciones de marca, web, piezas, campañas y procesos.</t>
        </is>
      </c>
      <c r="D8" s="11" t="inlineStr">
        <is>
          <t>Rediseño de marca +180% conversión</t>
        </is>
      </c>
      <c r="E8" s="11" t="inlineStr">
        <is>
          <t>Web 2s → 0.8s de carga</t>
        </is>
      </c>
      <c r="F8" s="11" t="inlineStr">
        <is>
          <t>Excel caótico → dashboard en vivo</t>
        </is>
      </c>
      <c r="G8" s="11" t="inlineStr">
        <is>
          <t>WhatsApp caótico → CRM organizado</t>
        </is>
      </c>
      <c r="H8" s="11" t="inlineStr">
        <is>
          <t>Cotización manual → IA automática</t>
        </is>
      </c>
      <c r="I8" s="1" t="n"/>
    </row>
    <row r="9" ht="75" customHeight="1">
      <c r="A9" s="1" t="n"/>
      <c r="B9" s="30" t="inlineStr">
        <is>
          <t>04 · Casos reales</t>
        </is>
      </c>
      <c r="C9" s="31" t="inlineStr">
        <is>
          <t>Resultados, aprendizajes y mini auditorías de empresas.</t>
        </is>
      </c>
      <c r="D9" s="11" t="inlineStr">
        <is>
          <t>Mini auditoría restaurante</t>
        </is>
      </c>
      <c r="E9" s="11" t="inlineStr">
        <is>
          <t>Mini auditoría inmobiliaria</t>
        </is>
      </c>
      <c r="F9" s="11" t="inlineStr">
        <is>
          <t>Mini auditoría servicios B2B</t>
        </is>
      </c>
      <c r="G9" s="11" t="inlineStr">
        <is>
          <t>Caso 360 en 8 semanas</t>
        </is>
      </c>
      <c r="H9" s="11" t="inlineStr">
        <is>
          <t>Resumen mensual de resultados</t>
        </is>
      </c>
      <c r="I9" s="1" t="n"/>
    </row>
    <row r="10" ht="75" customHeight="1">
      <c r="A10" s="1" t="n"/>
      <c r="B10" s="30" t="inlineStr">
        <is>
          <t>05 · Cultura ELEMENTAL</t>
        </is>
      </c>
      <c r="C10" s="31" t="inlineStr">
        <is>
          <t>Proceso creativo, metodología, equipo, herramientas y backstage.</t>
        </is>
      </c>
      <c r="D10" s="11" t="inlineStr">
        <is>
          <t>Stack de herramientas 2026</t>
        </is>
      </c>
      <c r="E10" s="11" t="inlineStr">
        <is>
          <t>Metodología en 5 fases</t>
        </is>
      </c>
      <c r="F10" s="11" t="inlineStr">
        <is>
          <t>Día de trabajo remoto</t>
        </is>
      </c>
      <c r="G10" s="11" t="inlineStr">
        <is>
          <t>Cómo trabajamos async</t>
        </is>
      </c>
      <c r="H10" s="11" t="inlineStr">
        <is>
          <t>Backstage de un sprint</t>
        </is>
      </c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6" t="inlineStr">
        <is>
          <t>MÉTRICAS Y SEGUIMIENTO</t>
        </is>
      </c>
    </row>
    <row r="3" ht="30" customHeight="1">
      <c r="A3" s="1" t="n"/>
      <c r="B3" s="32" t="inlineStr">
        <is>
          <t>Tabla para registrar métricas semanales por publicación. Las fórmulas calculan totales y promedios automáticamente.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2" customHeight="1">
      <c r="A5" s="1" t="n"/>
      <c r="B5" s="14" t="inlineStr">
        <is>
          <t>Publicación</t>
        </is>
      </c>
      <c r="C5" s="14" t="inlineStr">
        <is>
          <t>Tipo</t>
        </is>
      </c>
      <c r="D5" s="14" t="inlineStr">
        <is>
          <t>Alcance</t>
        </is>
      </c>
      <c r="E5" s="14" t="inlineStr">
        <is>
          <t>Impresiones</t>
        </is>
      </c>
      <c r="F5" s="14" t="inlineStr">
        <is>
          <t>Interacciones</t>
        </is>
      </c>
      <c r="G5" s="14" t="inlineStr">
        <is>
          <t>Guardados</t>
        </is>
      </c>
      <c r="H5" s="14" t="inlineStr">
        <is>
          <t>Comentarios</t>
        </is>
      </c>
      <c r="I5" s="14" t="inlineStr">
        <is>
          <t>Clicks</t>
        </is>
      </c>
      <c r="J5" s="14" t="inlineStr">
        <is>
          <t>Leads</t>
        </is>
      </c>
      <c r="K5" s="14" t="inlineStr">
        <is>
          <t>Tasa Engage %</t>
        </is>
      </c>
      <c r="L5" s="14" t="inlineStr">
        <is>
          <t>ROI</t>
        </is>
      </c>
    </row>
    <row r="6">
      <c r="A6" s="1" t="n"/>
      <c r="B6" s="33" t="inlineStr">
        <is>
          <t>W1 · Carrusel prompts IA</t>
        </is>
      </c>
      <c r="C6" s="21" t="inlineStr">
        <is>
          <t>Carrusel</t>
        </is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34" t="n">
        <v>0</v>
      </c>
      <c r="J6" s="34" t="n">
        <v>0</v>
      </c>
      <c r="K6" s="35">
        <f>IFERROR(F6/D6*100, 0)</f>
        <v/>
      </c>
      <c r="L6" s="36">
        <f>IFERROR(J6*50/100, 0)</f>
        <v/>
      </c>
    </row>
    <row r="7">
      <c r="A7" s="1" t="n"/>
      <c r="B7" s="33" t="inlineStr">
        <is>
          <t>W1 · Reel bot WhatsApp</t>
        </is>
      </c>
      <c r="C7" s="21" t="inlineStr">
        <is>
          <t>Reel</t>
        </is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5">
        <f>IFERROR(F7/D7*100, 0)</f>
        <v/>
      </c>
      <c r="L7" s="36">
        <f>IFERROR(J7*50/100, 0)</f>
        <v/>
      </c>
    </row>
    <row r="8">
      <c r="A8" s="1" t="n"/>
      <c r="B8" s="33" t="inlineStr">
        <is>
          <t>W1 · Carrusel auditoría restaurante</t>
        </is>
      </c>
      <c r="C8" s="21" t="inlineStr">
        <is>
          <t>Carrusel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5">
        <f>IFERROR(F8/D8*100, 0)</f>
        <v/>
      </c>
      <c r="L8" s="36">
        <f>IFERROR(J8*50/100, 0)</f>
        <v/>
      </c>
    </row>
    <row r="9">
      <c r="A9" s="1" t="n"/>
      <c r="B9" s="33" t="inlineStr">
        <is>
          <t>W1 · Reel error Meta Ads</t>
        </is>
      </c>
      <c r="C9" s="21" t="inlineStr">
        <is>
          <t>Reel</t>
        </is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5">
        <f>IFERROR(F9/D9*100, 0)</f>
        <v/>
      </c>
      <c r="L9" s="36">
        <f>IFERROR(J9*50/100, 0)</f>
        <v/>
      </c>
    </row>
    <row r="10">
      <c r="A10" s="1" t="n"/>
      <c r="B10" s="33" t="inlineStr">
        <is>
          <t>W1 · Carrusel rediseño marca</t>
        </is>
      </c>
      <c r="C10" s="21" t="inlineStr">
        <is>
          <t>Carrusel</t>
        </is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5">
        <f>IFERROR(F10/D10*100, 0)</f>
        <v/>
      </c>
      <c r="L10" s="36">
        <f>IFERROR(J10*50/100, 0)</f>
        <v/>
      </c>
    </row>
    <row r="11">
      <c r="A11" s="1" t="n"/>
      <c r="B11" s="33" t="inlineStr">
        <is>
          <t>W1 · Reel backstage</t>
        </is>
      </c>
      <c r="C11" s="21" t="inlineStr">
        <is>
          <t>Reel</t>
        </is>
      </c>
      <c r="D11" s="34" t="n">
        <v>0</v>
      </c>
      <c r="E11" s="34" t="n">
        <v>0</v>
      </c>
      <c r="F11" s="34" t="n">
        <v>0</v>
      </c>
      <c r="G11" s="34" t="n">
        <v>0</v>
      </c>
      <c r="H11" s="34" t="n">
        <v>0</v>
      </c>
      <c r="I11" s="34" t="n">
        <v>0</v>
      </c>
      <c r="J11" s="34" t="n">
        <v>0</v>
      </c>
      <c r="K11" s="35">
        <f>IFERROR(F11/D11*100, 0)</f>
        <v/>
      </c>
      <c r="L11" s="36">
        <f>IFERROR(J11*50/100, 0)</f>
        <v/>
      </c>
    </row>
    <row r="12">
      <c r="A12" s="1" t="n"/>
      <c r="B12" s="33" t="inlineStr">
        <is>
          <t>W1 · Story caso restaurante</t>
        </is>
      </c>
      <c r="C12" s="21" t="inlineStr">
        <is>
          <t>Story</t>
        </is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35">
        <f>IFERROR(F12/D12*100, 0)</f>
        <v/>
      </c>
      <c r="L12" s="36">
        <f>IFERROR(J12*50/100, 0)</f>
        <v/>
      </c>
    </row>
    <row r="13">
      <c r="A13" s="1" t="n"/>
      <c r="B13" s="33" t="inlineStr">
        <is>
          <t>W2 · Carrusel embudo ventas</t>
        </is>
      </c>
      <c r="C13" s="21" t="inlineStr">
        <is>
          <t>Carrusel</t>
        </is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5">
        <f>IFERROR(F13/D13*100, 0)</f>
        <v/>
      </c>
      <c r="L13" s="36">
        <f>IFERROR(J13*50/100, 0)</f>
        <v/>
      </c>
    </row>
    <row r="14">
      <c r="A14" s="1" t="n"/>
      <c r="B14" s="33" t="inlineStr">
        <is>
          <t>W2 · Reel cotizaciones IA</t>
        </is>
      </c>
      <c r="C14" s="21" t="inlineStr">
        <is>
          <t>Reel</t>
        </is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5">
        <f>IFERROR(F14/D14*100, 0)</f>
        <v/>
      </c>
      <c r="L14" s="36">
        <f>IFERROR(J14*50/100, 0)</f>
        <v/>
      </c>
    </row>
    <row r="15">
      <c r="A15" s="1" t="n"/>
      <c r="B15" s="33" t="inlineStr">
        <is>
          <t>W2 · Carrusel auditoría inmobiliaria</t>
        </is>
      </c>
      <c r="C15" s="21" t="inlineStr">
        <is>
          <t>Carrusel</t>
        </is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5">
        <f>IFERROR(F15/D15*100, 0)</f>
        <v/>
      </c>
      <c r="L15" s="36">
        <f>IFERROR(J15*50/100, 0)</f>
        <v/>
      </c>
    </row>
    <row r="16">
      <c r="A16" s="1" t="n"/>
      <c r="B16" s="33" t="inlineStr">
        <is>
          <t>W2 · Reel SEO local</t>
        </is>
      </c>
      <c r="C16" s="21" t="inlineStr">
        <is>
          <t>Reel</t>
        </is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5">
        <f>IFERROR(F16/D16*100, 0)</f>
        <v/>
      </c>
      <c r="L16" s="36">
        <f>IFERROR(J16*50/100, 0)</f>
        <v/>
      </c>
    </row>
    <row r="17">
      <c r="A17" s="1" t="n"/>
      <c r="B17" s="33" t="inlineStr">
        <is>
          <t>W2 · Carrusel web antes/después</t>
        </is>
      </c>
      <c r="C17" s="21" t="inlineStr">
        <is>
          <t>Carrusel</t>
        </is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5">
        <f>IFERROR(F17/D17*100, 0)</f>
        <v/>
      </c>
      <c r="L17" s="36">
        <f>IFERROR(J17*50/100, 0)</f>
        <v/>
      </c>
    </row>
    <row r="18" ht="28" customHeight="1">
      <c r="A18" s="1" t="n"/>
      <c r="B18" s="14" t="inlineStr">
        <is>
          <t>TOTAL</t>
        </is>
      </c>
      <c r="C18" s="37" t="inlineStr">
        <is>
          <t>—</t>
        </is>
      </c>
      <c r="D18" s="38">
        <f>SUM(D6:D17)</f>
        <v/>
      </c>
      <c r="E18" s="38">
        <f>SUM(E6:E17)</f>
        <v/>
      </c>
      <c r="F18" s="38">
        <f>SUM(F6:F17)</f>
        <v/>
      </c>
      <c r="G18" s="38">
        <f>SUM(G6:G17)</f>
        <v/>
      </c>
      <c r="H18" s="38">
        <f>SUM(H6:H17)</f>
        <v/>
      </c>
      <c r="I18" s="38">
        <f>SUM(I6:I17)</f>
        <v/>
      </c>
      <c r="J18" s="38">
        <f>SUM(J6:J17)</f>
        <v/>
      </c>
      <c r="K18" s="39">
        <f>IFERROR(F18/D18*100, 0)</f>
        <v/>
      </c>
      <c r="L18" s="40">
        <f>SUM(L6:L17)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6" t="inlineStr">
        <is>
          <t>KPIs OBJETIVO MENSUAL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7" t="inlineStr">
        <is>
          <t>Alcance total</t>
        </is>
      </c>
      <c r="C22" s="12" t="n"/>
      <c r="D22" s="12" t="n"/>
      <c r="E22" s="13" t="n"/>
      <c r="F22" s="8">
        <f>D18</f>
        <v/>
      </c>
      <c r="G22" s="41" t="inlineStr">
        <is>
          <t>≥ 80,000</t>
        </is>
      </c>
      <c r="H22" s="1" t="n"/>
      <c r="I22" s="1" t="n"/>
      <c r="J22" s="1" t="n"/>
      <c r="K22" s="1" t="n"/>
    </row>
    <row r="23">
      <c r="A23" s="1" t="n"/>
      <c r="B23" s="7" t="inlineStr">
        <is>
          <t>Impresiones totales</t>
        </is>
      </c>
      <c r="C23" s="12" t="n"/>
      <c r="D23" s="12" t="n"/>
      <c r="E23" s="13" t="n"/>
      <c r="F23" s="8">
        <f>E18</f>
        <v/>
      </c>
      <c r="G23" s="41" t="inlineStr">
        <is>
          <t>≥ 150,000</t>
        </is>
      </c>
      <c r="H23" s="1" t="n"/>
      <c r="I23" s="1" t="n"/>
      <c r="J23" s="1" t="n"/>
      <c r="K23" s="1" t="n"/>
    </row>
    <row r="24">
      <c r="A24" s="1" t="n"/>
      <c r="B24" s="7" t="inlineStr">
        <is>
          <t>Guardados totales</t>
        </is>
      </c>
      <c r="C24" s="12" t="n"/>
      <c r="D24" s="12" t="n"/>
      <c r="E24" s="13" t="n"/>
      <c r="F24" s="8">
        <f>G18</f>
        <v/>
      </c>
      <c r="G24" s="41" t="inlineStr">
        <is>
          <t>≥ 600</t>
        </is>
      </c>
      <c r="H24" s="1" t="n"/>
      <c r="I24" s="1" t="n"/>
      <c r="J24" s="1" t="n"/>
      <c r="K24" s="1" t="n"/>
    </row>
    <row r="25">
      <c r="A25" s="1" t="n"/>
      <c r="B25" s="7" t="inlineStr">
        <is>
          <t>Leads generados</t>
        </is>
      </c>
      <c r="C25" s="12" t="n"/>
      <c r="D25" s="12" t="n"/>
      <c r="E25" s="13" t="n"/>
      <c r="F25" s="8">
        <f>J18</f>
        <v/>
      </c>
      <c r="G25" s="41" t="inlineStr">
        <is>
          <t>≥ 30</t>
        </is>
      </c>
      <c r="H25" s="1" t="n"/>
      <c r="I25" s="1" t="n"/>
      <c r="J25" s="1" t="n"/>
      <c r="K25" s="1" t="n"/>
    </row>
    <row r="26">
      <c r="A26" s="1" t="n"/>
      <c r="B26" s="7" t="inlineStr">
        <is>
          <t>Tasa de engagement</t>
        </is>
      </c>
      <c r="C26" s="12" t="n"/>
      <c r="D26" s="12" t="n"/>
      <c r="E26" s="13" t="n"/>
      <c r="F26" s="8">
        <f>K18</f>
        <v/>
      </c>
      <c r="G26" s="41" t="inlineStr">
        <is>
          <t>≥ 3.5%</t>
        </is>
      </c>
      <c r="H26" s="1" t="n"/>
      <c r="I26" s="1" t="n"/>
      <c r="J26" s="1" t="n"/>
      <c r="K26" s="1" t="n"/>
    </row>
    <row r="27">
      <c r="A27" s="1" t="n"/>
      <c r="B27" s="7" t="inlineStr">
        <is>
          <t>ROI estimado (USD)</t>
        </is>
      </c>
      <c r="C27" s="12" t="n"/>
      <c r="D27" s="12" t="n"/>
      <c r="E27" s="13" t="n"/>
      <c r="F27" s="8">
        <f>L18</f>
        <v/>
      </c>
      <c r="G27" s="41" t="inlineStr">
        <is>
          <t>≥ $1,500</t>
        </is>
      </c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</sheetData>
  <mergeCells count="8">
    <mergeCell ref="B23:E23"/>
    <mergeCell ref="B26:E26"/>
    <mergeCell ref="B27:E27"/>
    <mergeCell ref="B3:K3"/>
    <mergeCell ref="B25:E25"/>
    <mergeCell ref="B24:E24"/>
    <mergeCell ref="B2:K2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ELEMENTAL</dc:creator>
  <dc:title xmlns:dc="http://purl.org/dc/elements/1.1/">Calendario de Contenido - ELEMENTAL</dc:title>
  <dc:subject xmlns:dc="http://purl.org/dc/elements/1.1/">Plan de redes sociales 4 semanas</dc:subject>
  <dcterms:created xmlns:dcterms="http://purl.org/dc/terms/" xmlns:xsi="http://www.w3.org/2001/XMLSchema-instance" xsi:type="dcterms:W3CDTF">2026-06-30T18:04:34Z</dcterms:created>
  <dcterms:modified xmlns:dcterms="http://purl.org/dc/terms/" xmlns:xsi="http://www.w3.org/2001/XMLSchema-instance" xsi:type="dcterms:W3CDTF">2026-06-30T18:04:34Z</dcterms:modified>
</cp:coreProperties>
</file>